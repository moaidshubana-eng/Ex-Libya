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  <sheet sheetId="2" name="تكلفة كل سيارة" state="visible" r:id="rId5"/>
    <sheet sheetId="3" name="البنود التفصيلية" state="visible" r:id="rId6"/>
  </sheets>
  <calcPr calcId="171027"/>
</workbook>
</file>

<file path=xl/sharedStrings.xml><?xml version="1.0" encoding="utf-8"?>
<sst xmlns="http://schemas.openxmlformats.org/spreadsheetml/2006/main" count="4714" uniqueCount="526">
  <si>
    <t>Golden Gate Motors</t>
  </si>
  <si>
    <t>تقرير تكاليف السيارات المستوردة</t>
  </si>
  <si>
    <t>تاريخ الإصدار: 15/10/2026, 10:19:27</t>
  </si>
  <si>
    <t>أصدره: المحاسب</t>
  </si>
  <si>
    <t>المرشحات: بلا</t>
  </si>
  <si>
    <t>البند</t>
  </si>
  <si>
    <t>القيمة (د.ل)</t>
  </si>
  <si>
    <t>عدد السيارات</t>
  </si>
  <si>
    <t>عدد المباعة</t>
  </si>
  <si>
    <t>إجمالي الشراء والرسوم</t>
  </si>
  <si>
    <t>إجمالي لوجستيات أمريكا</t>
  </si>
  <si>
    <t>إجمالي الشحن البحري</t>
  </si>
  <si>
    <t>إجمالي الميناء الليبي</t>
  </si>
  <si>
    <t>إجمالي الجمارك</t>
  </si>
  <si>
    <t>إجمالي النقل الداخلي</t>
  </si>
  <si>
    <t>إجمالي التجهيز</t>
  </si>
  <si>
    <t>إجمالي أخرى</t>
  </si>
  <si>
    <t>إجمالي التكلفة الواصلة</t>
  </si>
  <si>
    <t>منها غير مسدد للموردين</t>
  </si>
  <si>
    <t>إجمالي المبيعات</t>
  </si>
  <si>
    <t>إجمالي هامش الربح (المباعة)</t>
  </si>
  <si>
    <t>متوسط نسبة الربح على التكلفة %</t>
  </si>
  <si>
    <t>رقم المخزون</t>
  </si>
  <si>
    <t>VIN</t>
  </si>
  <si>
    <t>السيارة</t>
  </si>
  <si>
    <t>الحالة</t>
  </si>
  <si>
    <t>المصدر/اللوت</t>
  </si>
  <si>
    <t>الحاوية</t>
  </si>
  <si>
    <t>الشراء والرسوم</t>
  </si>
  <si>
    <t>لوجستيات أمريكا</t>
  </si>
  <si>
    <t>الشحن البحري</t>
  </si>
  <si>
    <t>الميناء الليبي</t>
  </si>
  <si>
    <t>الجمارك</t>
  </si>
  <si>
    <t>النقل الداخلي</t>
  </si>
  <si>
    <t>التجهيز</t>
  </si>
  <si>
    <t>أخرى</t>
  </si>
  <si>
    <t>إجمالي التكلفة</t>
  </si>
  <si>
    <t>غير مسدد</t>
  </si>
  <si>
    <t>سعر البيع</t>
  </si>
  <si>
    <t>الهامش</t>
  </si>
  <si>
    <t>LY-2026-0001</t>
  </si>
  <si>
    <t>4T1G11AK1L7814795</t>
  </si>
  <si>
    <t>2020 Toyota Camry</t>
  </si>
  <si>
    <t>تم الشراء</t>
  </si>
  <si>
    <t>IAAI 37349330</t>
  </si>
  <si>
    <t>—</t>
  </si>
  <si>
    <t>LY-2026-0002</t>
  </si>
  <si>
    <t>KNDPM3AC5MC570027</t>
  </si>
  <si>
    <t>2021 Kia Sportage</t>
  </si>
  <si>
    <t>COPART 58992904</t>
  </si>
  <si>
    <t>LY-2026-0003</t>
  </si>
  <si>
    <t>1N4BL4DV2MU517737</t>
  </si>
  <si>
    <t>2021 Nissan Altima</t>
  </si>
  <si>
    <t>IAAI 37499595</t>
  </si>
  <si>
    <t>LY-2026-0004</t>
  </si>
  <si>
    <t>5N1AT2MV6P0869639</t>
  </si>
  <si>
    <t>2023 Nissan Rogue</t>
  </si>
  <si>
    <t>بانتظار السحب</t>
  </si>
  <si>
    <t>COPART 58765574</t>
  </si>
  <si>
    <t>LY-2026-0005</t>
  </si>
  <si>
    <t>5XXG64J2XHA207691</t>
  </si>
  <si>
    <t>2017 Kia K5</t>
  </si>
  <si>
    <t>COPART 58623873</t>
  </si>
  <si>
    <t>LY-2026-0006</t>
  </si>
  <si>
    <t>5UXCR6C00LC228616</t>
  </si>
  <si>
    <t>2020 BMW X5</t>
  </si>
  <si>
    <t>COPART 58202102</t>
  </si>
  <si>
    <t>LY-2026-0007</t>
  </si>
  <si>
    <t>5UXCR6C09MC799751</t>
  </si>
  <si>
    <t>2021 BMW X5</t>
  </si>
  <si>
    <t>نقل داخلي (أمريكا)</t>
  </si>
  <si>
    <t>IAAI 37061113</t>
  </si>
  <si>
    <t>LY-2026-0008</t>
  </si>
  <si>
    <t>1G1ZD5ST7LU577615</t>
  </si>
  <si>
    <t>2020 Chevrolet Malibu</t>
  </si>
  <si>
    <t>COPART 58139556</t>
  </si>
  <si>
    <t>LY-2026-0009</t>
  </si>
  <si>
    <t>5NPEL4JA3N1334151</t>
  </si>
  <si>
    <t>2022 Hyundai Sonata</t>
  </si>
  <si>
    <t>في مستودع التصدير</t>
  </si>
  <si>
    <t>COPART 58225012</t>
  </si>
  <si>
    <t>LY-2026-0010</t>
  </si>
  <si>
    <t>1FMSK8DH2R0789114</t>
  </si>
  <si>
    <t>2024 Ford Explorer</t>
  </si>
  <si>
    <t>COPART 58916192</t>
  </si>
  <si>
    <t>LY-2026-0011</t>
  </si>
  <si>
    <t>1GKS2BKC6P7137228</t>
  </si>
  <si>
    <t>2023 GMC Yukon</t>
  </si>
  <si>
    <t>COPART 58018815</t>
  </si>
  <si>
    <t>LY-2026-0012</t>
  </si>
  <si>
    <t>1FMSK8DH6MU586454</t>
  </si>
  <si>
    <t>2021 Ford Explorer</t>
  </si>
  <si>
    <t>محمّلة في الحاوية</t>
  </si>
  <si>
    <t>COPART 58794798</t>
  </si>
  <si>
    <t>MSKU3939651</t>
  </si>
  <si>
    <t>LY-2026-0013</t>
  </si>
  <si>
    <t>1HGCV1F33J7794895</t>
  </si>
  <si>
    <t>2018 Honda Accord</t>
  </si>
  <si>
    <t>IAAI 37317507</t>
  </si>
  <si>
    <t>LY-2026-0014</t>
  </si>
  <si>
    <t>1FTFW1E8XLC572707</t>
  </si>
  <si>
    <t>2020 Ford F-150</t>
  </si>
  <si>
    <t>COPART 58313855</t>
  </si>
  <si>
    <t>LY-2026-0015</t>
  </si>
  <si>
    <t>KM8JBCAE8NK596475</t>
  </si>
  <si>
    <t>2022 Hyundai Tucson</t>
  </si>
  <si>
    <t>COPART 58486603</t>
  </si>
  <si>
    <t>LY-2026-0016</t>
  </si>
  <si>
    <t>5NPEL4JA6M0104060</t>
  </si>
  <si>
    <t>2021 Hyundai Sonata</t>
  </si>
  <si>
    <t>في البحر</t>
  </si>
  <si>
    <t>COPART 58643328</t>
  </si>
  <si>
    <t>MSCU7125139</t>
  </si>
  <si>
    <t>LY-2026-0017</t>
  </si>
  <si>
    <t>1GNSKCKD5PC425749</t>
  </si>
  <si>
    <t>2023 Chevrolet Tahoe</t>
  </si>
  <si>
    <t>IAAI 37115502</t>
  </si>
  <si>
    <t>LY-2026-0018</t>
  </si>
  <si>
    <t>KM8JBCAE0HA823684</t>
  </si>
  <si>
    <t>2017 Hyundai Tucson</t>
  </si>
  <si>
    <t>IAAI 37282262</t>
  </si>
  <si>
    <t>LY-2026-0019</t>
  </si>
  <si>
    <t>5NPLM4AG7H7461687</t>
  </si>
  <si>
    <t>2017 Hyundai Elantra</t>
  </si>
  <si>
    <t>COPART 58468327</t>
  </si>
  <si>
    <t>LY-2026-0020</t>
  </si>
  <si>
    <t>KM8JBCAE0MA813716</t>
  </si>
  <si>
    <t>2021 Hyundai Tucson</t>
  </si>
  <si>
    <t>IAAI 37402748</t>
  </si>
  <si>
    <t>MSKU7817200</t>
  </si>
  <si>
    <t>LY-2026-0021</t>
  </si>
  <si>
    <t>2T2BZMCA6P5297687</t>
  </si>
  <si>
    <t>2023 Lexus RX 350</t>
  </si>
  <si>
    <t>IAAI 37442649</t>
  </si>
  <si>
    <t>LY-2026-0022</t>
  </si>
  <si>
    <t>1C4RJFBG0MA201494</t>
  </si>
  <si>
    <t>2021 Jeep Grand Cherokee</t>
  </si>
  <si>
    <t>COPART 58293458</t>
  </si>
  <si>
    <t>LY-2026-0023</t>
  </si>
  <si>
    <t>1HGCV1F30J0881677</t>
  </si>
  <si>
    <t>COPART 58481820</t>
  </si>
  <si>
    <t>LY-2026-0024</t>
  </si>
  <si>
    <t>5NPLM4AG5KU881957</t>
  </si>
  <si>
    <t>2019 Hyundai Elantra</t>
  </si>
  <si>
    <t>في الميناء</t>
  </si>
  <si>
    <t>IAAI 37254605</t>
  </si>
  <si>
    <t>CMAU9798068</t>
  </si>
  <si>
    <t>LY-2026-0025</t>
  </si>
  <si>
    <t>2T3P1RFV2NA919694</t>
  </si>
  <si>
    <t>2022 Toyota RAV4</t>
  </si>
  <si>
    <t>IAAI 37584359</t>
  </si>
  <si>
    <t>LY-2026-0026</t>
  </si>
  <si>
    <t>1GNSKCKD6N1605749</t>
  </si>
  <si>
    <t>2022 Chevrolet Tahoe</t>
  </si>
  <si>
    <t>IAAI 37783020</t>
  </si>
  <si>
    <t>LY-2026-0027</t>
  </si>
  <si>
    <t>1C4RJFBG8L1786212</t>
  </si>
  <si>
    <t>2020 Jeep Grand Cherokee</t>
  </si>
  <si>
    <t>COPART 58029359</t>
  </si>
  <si>
    <t>LY-2026-0028</t>
  </si>
  <si>
    <t>2C3CDXBG5P5885005</t>
  </si>
  <si>
    <t>2023 Dodge Charger</t>
  </si>
  <si>
    <t>في الجمارك</t>
  </si>
  <si>
    <t>IAAI 37105762</t>
  </si>
  <si>
    <t>MSKU8800445</t>
  </si>
  <si>
    <t>LY-2026-0029</t>
  </si>
  <si>
    <t>KM8JBCAE1MA991988</t>
  </si>
  <si>
    <t>COPART 58064421</t>
  </si>
  <si>
    <t>LY-2026-0030</t>
  </si>
  <si>
    <t>5N1AT2MV3MK235494</t>
  </si>
  <si>
    <t>2021 Nissan Rogue</t>
  </si>
  <si>
    <t>COPART 58469480</t>
  </si>
  <si>
    <t>LY-2026-0031</t>
  </si>
  <si>
    <t>5TDJZRFH4M0384939</t>
  </si>
  <si>
    <t>2021 Toyota Highlander</t>
  </si>
  <si>
    <t>IAAI 37698191</t>
  </si>
  <si>
    <t>LY-2026-0032</t>
  </si>
  <si>
    <t>1GKS2BKC5JK796485</t>
  </si>
  <si>
    <t>2018 GMC Yukon</t>
  </si>
  <si>
    <t>مُفرج عنها جمركيًا</t>
  </si>
  <si>
    <t>COPART 58536273</t>
  </si>
  <si>
    <t>MSKU9244742</t>
  </si>
  <si>
    <t>LY-2026-0033</t>
  </si>
  <si>
    <t>1N4BL4DV9L0132181</t>
  </si>
  <si>
    <t>2020 Nissan Altima</t>
  </si>
  <si>
    <t>COPART 58663683</t>
  </si>
  <si>
    <t>LY-2026-0034</t>
  </si>
  <si>
    <t>5UXCR6C0XRA671263</t>
  </si>
  <si>
    <t>2024 BMW X5</t>
  </si>
  <si>
    <t>نقل داخلي (ليبيا)</t>
  </si>
  <si>
    <t>COPART 58920115</t>
  </si>
  <si>
    <t>LY-2026-0035</t>
  </si>
  <si>
    <t>55SWF8EB3PU822481</t>
  </si>
  <si>
    <t>2023 Mercedes-Benz C 300</t>
  </si>
  <si>
    <t>IAAI 37351218</t>
  </si>
  <si>
    <t>LY-2026-0036</t>
  </si>
  <si>
    <t>5UXCR6C06LU197625</t>
  </si>
  <si>
    <t>متاحة في المعرض</t>
  </si>
  <si>
    <t>COPART 58139495</t>
  </si>
  <si>
    <t>MSCU3341496</t>
  </si>
  <si>
    <t>LY-2026-0037</t>
  </si>
  <si>
    <t>1G1ZD5ST9KC539162</t>
  </si>
  <si>
    <t>2019 Chevrolet Malibu</t>
  </si>
  <si>
    <t>IAAI 37106447</t>
  </si>
  <si>
    <t>LY-2026-0038</t>
  </si>
  <si>
    <t>4T1G11AK8K1399220</t>
  </si>
  <si>
    <t>2019 Toyota Camry</t>
  </si>
  <si>
    <t>COPART 58911224</t>
  </si>
  <si>
    <t>LY-2026-0039</t>
  </si>
  <si>
    <t>KM8JBCAE0J1317262</t>
  </si>
  <si>
    <t>2018 Hyundai Tucson</t>
  </si>
  <si>
    <t>COPART 58197096</t>
  </si>
  <si>
    <t>LY-2026-0040</t>
  </si>
  <si>
    <t>1N4BL4DVXP1315427</t>
  </si>
  <si>
    <t>2023 Nissan Altima</t>
  </si>
  <si>
    <t>IAAI 37283878</t>
  </si>
  <si>
    <t>MSKU2505083</t>
  </si>
  <si>
    <t>LY-2026-0041</t>
  </si>
  <si>
    <t>1FTFW1E83P7877206</t>
  </si>
  <si>
    <t>2023 Ford F-150</t>
  </si>
  <si>
    <t>في المزايدة</t>
  </si>
  <si>
    <t>COPART 58747562</t>
  </si>
  <si>
    <t>LY-2026-0042</t>
  </si>
  <si>
    <t>1HGCV1F37HU810625</t>
  </si>
  <si>
    <t>2017 Honda Accord</t>
  </si>
  <si>
    <t>COPART 58798438</t>
  </si>
  <si>
    <t>LY-2026-0043</t>
  </si>
  <si>
    <t>1GKS2BKC7L0776267</t>
  </si>
  <si>
    <t>2020 GMC Yukon</t>
  </si>
  <si>
    <t>COPART 58939863</t>
  </si>
  <si>
    <t>LY-2026-0044</t>
  </si>
  <si>
    <t>2HKRW2H53R0342882</t>
  </si>
  <si>
    <t>2024 Honda CR-V</t>
  </si>
  <si>
    <t>IAAI 37444545</t>
  </si>
  <si>
    <t>CMAU6425138</t>
  </si>
  <si>
    <t>LY-2026-0045</t>
  </si>
  <si>
    <t>2C3CDXBG4PA791480</t>
  </si>
  <si>
    <t>COPART 58825667</t>
  </si>
  <si>
    <t>LY-2026-0046</t>
  </si>
  <si>
    <t>1HGCV1F3XNC256983</t>
  </si>
  <si>
    <t>2022 Honda Accord</t>
  </si>
  <si>
    <t>COPART 58562742</t>
  </si>
  <si>
    <t>LY-2026-0047</t>
  </si>
  <si>
    <t>1GKS2BKCXM1805319</t>
  </si>
  <si>
    <t>2021 GMC Yukon</t>
  </si>
  <si>
    <t>COPART 58144911</t>
  </si>
  <si>
    <t>LY-2026-0048</t>
  </si>
  <si>
    <t>5N1AT2MV8M5615011</t>
  </si>
  <si>
    <t>IAAI 37521586</t>
  </si>
  <si>
    <t>MSCU5379208</t>
  </si>
  <si>
    <t>LY-2026-0049</t>
  </si>
  <si>
    <t>1FTFW1E81L0798426</t>
  </si>
  <si>
    <t>مباعة</t>
  </si>
  <si>
    <t>IAAI 37071903</t>
  </si>
  <si>
    <t>LY-2026-0050</t>
  </si>
  <si>
    <t>2C3CDXBG8MA989006</t>
  </si>
  <si>
    <t>2021 Dodge Charger</t>
  </si>
  <si>
    <t>IAAI 37573592</t>
  </si>
  <si>
    <t>LY-2026-0051</t>
  </si>
  <si>
    <t>2T2BZMCA1HA515933</t>
  </si>
  <si>
    <t>2017 Lexus RX 350</t>
  </si>
  <si>
    <t>COPART 58397384</t>
  </si>
  <si>
    <t>LY-2026-0052</t>
  </si>
  <si>
    <t>2HKRW2H56JK298935</t>
  </si>
  <si>
    <t>2018 Honda CR-V</t>
  </si>
  <si>
    <t>COPART 58687078</t>
  </si>
  <si>
    <t>CMAU5837135</t>
  </si>
  <si>
    <t>LY-2026-0053</t>
  </si>
  <si>
    <t>2HKRW2H59H1606549</t>
  </si>
  <si>
    <t>2017 Honda CR-V</t>
  </si>
  <si>
    <t>مُسلَّمة</t>
  </si>
  <si>
    <t>IAAI 37082252</t>
  </si>
  <si>
    <t>LY-2026-0054</t>
  </si>
  <si>
    <t>5N1AT2MV5MK534520</t>
  </si>
  <si>
    <t>COPART 58234440</t>
  </si>
  <si>
    <t>LY-2026-0055</t>
  </si>
  <si>
    <t>1GNSKCKD5N0877246</t>
  </si>
  <si>
    <t>COPART 58681990</t>
  </si>
  <si>
    <t>LY-2026-0056</t>
  </si>
  <si>
    <t>55SWF8EB0K7987492</t>
  </si>
  <si>
    <t>2019 Mercedes-Benz C 300</t>
  </si>
  <si>
    <t>COPART 58720645</t>
  </si>
  <si>
    <t>MSCU1791271</t>
  </si>
  <si>
    <t>LY-2026-0057</t>
  </si>
  <si>
    <t>5UXCR6C04PK450720</t>
  </si>
  <si>
    <t>2023 BMW X5</t>
  </si>
  <si>
    <t>معلقة</t>
  </si>
  <si>
    <t>IAAI 37116113</t>
  </si>
  <si>
    <t>CMAU1737408</t>
  </si>
  <si>
    <t>LY-2026-0058</t>
  </si>
  <si>
    <t>5NPLM4AG9PK355091</t>
  </si>
  <si>
    <t>2023 Hyundai Elantra</t>
  </si>
  <si>
    <t>IAAI 37948544</t>
  </si>
  <si>
    <t>الإجمالي</t>
  </si>
  <si>
    <t>الوصف</t>
  </si>
  <si>
    <t>المورد</t>
  </si>
  <si>
    <t>المبلغ</t>
  </si>
  <si>
    <t>العملة</t>
  </si>
  <si>
    <t>سعر الصرف</t>
  </si>
  <si>
    <t>بالدينار</t>
  </si>
  <si>
    <t>التاريخ</t>
  </si>
  <si>
    <t>رقم الفاتورة</t>
  </si>
  <si>
    <t>مسدد</t>
  </si>
  <si>
    <t>سعر الشراء في المزاد</t>
  </si>
  <si>
    <t>سعر الشراء — IAAI لوت 37349330</t>
  </si>
  <si>
    <t>USD</t>
  </si>
  <si>
    <t>فعلي</t>
  </si>
  <si>
    <t>SRC-37349330</t>
  </si>
  <si>
    <t>نعم</t>
  </si>
  <si>
    <t>رسوم المشتري للمزاد</t>
  </si>
  <si>
    <t>رسوم المشتري</t>
  </si>
  <si>
    <t>رسوم مزاد أخرى (بوابة/بيئة/إنترنت)</t>
  </si>
  <si>
    <t>رسوم البوابة/البيئة/المزايدة الإلكترونية</t>
  </si>
  <si>
    <t>عمولة الوسيط/حساب المزاد</t>
  </si>
  <si>
    <t>عمولة حساب الوسيط</t>
  </si>
  <si>
    <t>لا</t>
  </si>
  <si>
    <t>سعر الشراء — COPART لوت 58992904</t>
  </si>
  <si>
    <t>SRC-58992904</t>
  </si>
  <si>
    <t>سعر الشراء — IAAI لوت 37499595</t>
  </si>
  <si>
    <t>SRC-37499595</t>
  </si>
  <si>
    <t>سعر الشراء — COPART لوت 58765574</t>
  </si>
  <si>
    <t>SRC-58765574</t>
  </si>
  <si>
    <t>سعر الشراء — COPART لوت 58623873</t>
  </si>
  <si>
    <t>SRC-58623873</t>
  </si>
  <si>
    <t>سعر الشراء — COPART لوت 58202102</t>
  </si>
  <si>
    <t>SRC-58202102</t>
  </si>
  <si>
    <t>سعر الشراء — IAAI لوت 37061113</t>
  </si>
  <si>
    <t>SRC-37061113</t>
  </si>
  <si>
    <t>السحب الداخلي في أمريكا</t>
  </si>
  <si>
    <t>سحب من Baltimore إلى ميناء التصدير</t>
  </si>
  <si>
    <t>East Coast Car Haulers</t>
  </si>
  <si>
    <t>سعر الشراء — COPART لوت 58139556</t>
  </si>
  <si>
    <t>SRC-58139556</t>
  </si>
  <si>
    <t>سعر الشراء — COPART لوت 58225012</t>
  </si>
  <si>
    <t>SRC-58225012</t>
  </si>
  <si>
    <t>سحب من Savannah إلى ميناء التصدير</t>
  </si>
  <si>
    <t>تخزين/غرامات تأخير في الساحة</t>
  </si>
  <si>
    <t>رسوم تخزين لتأخر السحب</t>
  </si>
  <si>
    <t>مستندات التصدير والملكية</t>
  </si>
  <si>
    <t>معالجة مستندات التصدير والملكية</t>
  </si>
  <si>
    <t>Atlantic Export Logistics</t>
  </si>
  <si>
    <t>سعر الشراء — COPART لوت 58916192</t>
  </si>
  <si>
    <t>SRC-58916192</t>
  </si>
  <si>
    <t>سحب من Los Angeles إلى ميناء التصدير</t>
  </si>
  <si>
    <t>سعر الشراء — COPART لوت 58018815</t>
  </si>
  <si>
    <t>SRC-58018815</t>
  </si>
  <si>
    <t>سحب من Houston North إلى ميناء التصدير</t>
  </si>
  <si>
    <t>Gulf Coast Auto Towing</t>
  </si>
  <si>
    <t>سعر الشراء — COPART لوت 58794798</t>
  </si>
  <si>
    <t>SRC-58794798</t>
  </si>
  <si>
    <t>سحب من Dallas إلى ميناء التصدير</t>
  </si>
  <si>
    <t>أجرة شحن حاوية 40HC (حصة من 4035 USD — SH-2026-0001)</t>
  </si>
  <si>
    <t>Maersk</t>
  </si>
  <si>
    <t>التحميل والتربيط في الحاوية</t>
  </si>
  <si>
    <t>تحميل وتربيط 4 سيارات (حصة من 600 USD — SH-2026-0001)</t>
  </si>
  <si>
    <t>التأمين البحري</t>
  </si>
  <si>
    <t>تأمين بحري 1.5% من قيمة الشراء</t>
  </si>
  <si>
    <t>Mediterranean Marine Insurance</t>
  </si>
  <si>
    <t>سعر الشراء — IAAI لوت 37317507</t>
  </si>
  <si>
    <t>SRC-37317507</t>
  </si>
  <si>
    <t>سعر الشراء — COPART لوت 58313855</t>
  </si>
  <si>
    <t>SRC-58313855</t>
  </si>
  <si>
    <t>سحب من Newark إلى ميناء التصدير</t>
  </si>
  <si>
    <t>سعر الشراء — COPART لوت 58486603</t>
  </si>
  <si>
    <t>SRC-58486603</t>
  </si>
  <si>
    <t>سعر الشراء — COPART لوت 58643328</t>
  </si>
  <si>
    <t>SRC-58643328</t>
  </si>
  <si>
    <t>أجرة شحن حاوية 40HC (حصة من 4189 USD — SH-2026-0002)</t>
  </si>
  <si>
    <t>MSC</t>
  </si>
  <si>
    <t>تحميل وتربيط 4 سيارات (حصة من 600 USD — SH-2026-0002)</t>
  </si>
  <si>
    <t>الرسوم الجمركية</t>
  </si>
  <si>
    <t>تقدير مبدئي للرسم الجمركي</t>
  </si>
  <si>
    <t>LYD</t>
  </si>
  <si>
    <t>تقديري</t>
  </si>
  <si>
    <t>سعر الشراء — IAAI لوت 37115502</t>
  </si>
  <si>
    <t>SRC-37115502</t>
  </si>
  <si>
    <t>سعر الشراء — IAAI لوت 37282262</t>
  </si>
  <si>
    <t>SRC-37282262</t>
  </si>
  <si>
    <t>سعر الشراء — COPART لوت 58468327</t>
  </si>
  <si>
    <t>SRC-58468327</t>
  </si>
  <si>
    <t>سعر الشراء — IAAI لوت 37402748</t>
  </si>
  <si>
    <t>SRC-37402748</t>
  </si>
  <si>
    <t>سحب من Long Island إلى ميناء التصدير</t>
  </si>
  <si>
    <t>أجرة شحن حاوية 40HC (حصة من 4163 USD — SH-2026-0003)</t>
  </si>
  <si>
    <t>تحميل وتربيط 4 سيارات (حصة من 600 USD — SH-2026-0003)</t>
  </si>
  <si>
    <t>سعر الشراء — IAAI لوت 37442649</t>
  </si>
  <si>
    <t>SRC-37442649</t>
  </si>
  <si>
    <t>سحب من Atlanta East إلى ميناء التصدير</t>
  </si>
  <si>
    <t>سعر الشراء — COPART لوت 58293458</t>
  </si>
  <si>
    <t>SRC-58293458</t>
  </si>
  <si>
    <t>سعر الشراء — COPART لوت 58481820</t>
  </si>
  <si>
    <t>SRC-58481820</t>
  </si>
  <si>
    <t>سعر الشراء — IAAI لوت 37254605</t>
  </si>
  <si>
    <t>SRC-37254605</t>
  </si>
  <si>
    <t>سحب من Miami Central إلى ميناء التصدير</t>
  </si>
  <si>
    <t>أجرة شحن حاوية 40HC (حصة من 4139 USD — SH-2026-0004)</t>
  </si>
  <si>
    <t>CMA CGM</t>
  </si>
  <si>
    <t>تحميل وتربيط 4 سيارات (حصة من 600 USD — SH-2026-0004)</t>
  </si>
  <si>
    <t>رسوم الميناء والتفريغ</t>
  </si>
  <si>
    <t>رسوم تفريغ ومناولة</t>
  </si>
  <si>
    <t>شركة خدمات الميناء</t>
  </si>
  <si>
    <t>سعر الشراء — IAAI لوت 37584359</t>
  </si>
  <si>
    <t>SRC-37584359</t>
  </si>
  <si>
    <t>سعر الشراء — IAAI لوت 37783020</t>
  </si>
  <si>
    <t>SRC-37783020</t>
  </si>
  <si>
    <t>سعر الشراء — COPART لوت 58029359</t>
  </si>
  <si>
    <t>SRC-58029359</t>
  </si>
  <si>
    <t>سعر الشراء — IAAI لوت 37105762</t>
  </si>
  <si>
    <t>SRC-37105762</t>
  </si>
  <si>
    <t>أجرة شحن حاوية 40HC (حصة من 4523 USD — SH-2026-0005)</t>
  </si>
  <si>
    <t>تحميل وتربيط 4 سيارات (حصة من 600 USD — SH-2026-0005)</t>
  </si>
  <si>
    <t>سعر الشراء — COPART لوت 58064421</t>
  </si>
  <si>
    <t>SRC-58064421</t>
  </si>
  <si>
    <t>سعر الشراء — COPART لوت 58469480</t>
  </si>
  <si>
    <t>SRC-58469480</t>
  </si>
  <si>
    <t>سعر الشراء — IAAI لوت 37698191</t>
  </si>
  <si>
    <t>SRC-37698191</t>
  </si>
  <si>
    <t>سعر الشراء — COPART لوت 58536273</t>
  </si>
  <si>
    <t>SRC-58536273</t>
  </si>
  <si>
    <t>أجرة شحن حاوية 40HC (حصة من 3876 USD — SH-2026-0007)</t>
  </si>
  <si>
    <t>تحميل وتربيط 4 سيارات (حصة من 600 USD — SH-2026-0007)</t>
  </si>
  <si>
    <t>أرضيات الميناء</t>
  </si>
  <si>
    <t>أرضيات تأخير</t>
  </si>
  <si>
    <t>رسم جمركي — بيان مُفرج عنه</t>
  </si>
  <si>
    <t>d57bf704</t>
  </si>
  <si>
    <t>أتعاب التخليص الجمركي</t>
  </si>
  <si>
    <t>أتعاب التخليص</t>
  </si>
  <si>
    <t>مكتب الساحل للتخليص الجمركي</t>
  </si>
  <si>
    <t>سعر الشراء — COPART لوت 58663683</t>
  </si>
  <si>
    <t>SRC-58663683</t>
  </si>
  <si>
    <t>38b63b91</t>
  </si>
  <si>
    <t>سعر الشراء — COPART لوت 58920115</t>
  </si>
  <si>
    <t>SRC-58920115</t>
  </si>
  <si>
    <t>c193d372</t>
  </si>
  <si>
    <t>النقل الداخلي في ليبيا</t>
  </si>
  <si>
    <t>نقل بشاحنة من الميناء إلى المعرض</t>
  </si>
  <si>
    <t>شركة الطريق السريع للنقل</t>
  </si>
  <si>
    <t>سعر الشراء — IAAI لوت 37351218</t>
  </si>
  <si>
    <t>SRC-37351218</t>
  </si>
  <si>
    <t>6dd9d80e</t>
  </si>
  <si>
    <t>سعر الشراء — COPART لوت 58139495</t>
  </si>
  <si>
    <t>SRC-58139495</t>
  </si>
  <si>
    <t>أجرة شحن حاوية 40HC (حصة من 4281 USD — SH-2026-0008)</t>
  </si>
  <si>
    <t>تحميل وتربيط 4 سيارات (حصة من 600 USD — SH-2026-0008)</t>
  </si>
  <si>
    <t>8b9ea248</t>
  </si>
  <si>
    <t>قطع غيار</t>
  </si>
  <si>
    <t>سعر الشراء — IAAI لوت 37106447</t>
  </si>
  <si>
    <t>SRC-37106447</t>
  </si>
  <si>
    <t>8b277bb2</t>
  </si>
  <si>
    <t>إصلاح وصيانة</t>
  </si>
  <si>
    <t>سمكرة ودهان وإصلاح الضرر</t>
  </si>
  <si>
    <t>ورشة النخبة للسمكرة والميكانيكا</t>
  </si>
  <si>
    <t>سعر الشراء — COPART لوت 58911224</t>
  </si>
  <si>
    <t>SRC-58911224</t>
  </si>
  <si>
    <t>ce86f7c8</t>
  </si>
  <si>
    <t>سعر الشراء — COPART لوت 58197096</t>
  </si>
  <si>
    <t>SRC-58197096</t>
  </si>
  <si>
    <t>a1e7ce6b</t>
  </si>
  <si>
    <t>سعر الشراء — IAAI لوت 37283878</t>
  </si>
  <si>
    <t>SRC-37283878</t>
  </si>
  <si>
    <t>أجرة شحن حاوية 40HC (حصة من 4321 USD — SH-2026-0009)</t>
  </si>
  <si>
    <t>تحميل وتربيط 4 سيارات (حصة من 600 USD — SH-2026-0009)</t>
  </si>
  <si>
    <t>49ecfec6</t>
  </si>
  <si>
    <t>سعر الشراء — COPART لوت 58747562</t>
  </si>
  <si>
    <t>SRC-58747562</t>
  </si>
  <si>
    <t>99fe7fe6</t>
  </si>
  <si>
    <t>سعر الشراء — COPART لوت 58798438</t>
  </si>
  <si>
    <t>SRC-58798438</t>
  </si>
  <si>
    <t>4be1ad49</t>
  </si>
  <si>
    <t>سعر الشراء — COPART لوت 58939863</t>
  </si>
  <si>
    <t>SRC-58939863</t>
  </si>
  <si>
    <t>162967bf</t>
  </si>
  <si>
    <t>سعر الشراء — IAAI لوت 37444545</t>
  </si>
  <si>
    <t>SRC-37444545</t>
  </si>
  <si>
    <t>أجرة شحن حاوية 40HC (حصة من 4754 USD — SH-2026-0010)</t>
  </si>
  <si>
    <t>تحميل وتربيط 4 سيارات (حصة من 600 USD — SH-2026-0010)</t>
  </si>
  <si>
    <t>d941e8cb</t>
  </si>
  <si>
    <t>سعر الشراء — COPART لوت 58825667</t>
  </si>
  <si>
    <t>SRC-58825667</t>
  </si>
  <si>
    <t>4cde8ad0</t>
  </si>
  <si>
    <t>سعر الشراء — COPART لوت 58562742</t>
  </si>
  <si>
    <t>SRC-58562742</t>
  </si>
  <si>
    <t>c29a7459</t>
  </si>
  <si>
    <t>سعر الشراء — COPART لوت 58144911</t>
  </si>
  <si>
    <t>SRC-58144911</t>
  </si>
  <si>
    <t>f178dd55</t>
  </si>
  <si>
    <t>سعر الشراء — IAAI لوت 37521586</t>
  </si>
  <si>
    <t>SRC-37521586</t>
  </si>
  <si>
    <t>أجرة شحن حاوية 40HC (حصة من 4208 USD — SH-2026-0011)</t>
  </si>
  <si>
    <t>تحميل وتربيط 4 سيارات (حصة من 600 USD — SH-2026-0011)</t>
  </si>
  <si>
    <t>5577fac5</t>
  </si>
  <si>
    <t>سعر الشراء — IAAI لوت 37071903</t>
  </si>
  <si>
    <t>SRC-37071903</t>
  </si>
  <si>
    <t>ea03e7f6</t>
  </si>
  <si>
    <t>ترقيم وتسجيل</t>
  </si>
  <si>
    <t>سعر الشراء — IAAI لوت 37573592</t>
  </si>
  <si>
    <t>SRC-37573592</t>
  </si>
  <si>
    <t>be39feeb</t>
  </si>
  <si>
    <t>سعر الشراء — COPART لوت 58397384</t>
  </si>
  <si>
    <t>SRC-58397384</t>
  </si>
  <si>
    <t>77c2489c</t>
  </si>
  <si>
    <t>سعر الشراء — COPART لوت 58687078</t>
  </si>
  <si>
    <t>SRC-58687078</t>
  </si>
  <si>
    <t>أجرة شحن حاوية 40HC (حصة من 4256 USD — SH-2026-0012)</t>
  </si>
  <si>
    <t>تحميل وتربيط 4 سيارات (حصة من 600 USD — SH-2026-0012)</t>
  </si>
  <si>
    <t>e59e0cd4</t>
  </si>
  <si>
    <t>سعر الشراء — IAAI لوت 37082252</t>
  </si>
  <si>
    <t>SRC-37082252</t>
  </si>
  <si>
    <t>f9ef6b57</t>
  </si>
  <si>
    <t>سعر الشراء — COPART لوت 58234440</t>
  </si>
  <si>
    <t>SRC-58234440</t>
  </si>
  <si>
    <t>db817f0d</t>
  </si>
  <si>
    <t>سعر الشراء — COPART لوت 58681990</t>
  </si>
  <si>
    <t>SRC-58681990</t>
  </si>
  <si>
    <t>2fea61b0</t>
  </si>
  <si>
    <t>سعر الشراء — COPART لوت 58720645</t>
  </si>
  <si>
    <t>SRC-58720645</t>
  </si>
  <si>
    <t>أجرة شحن حاوية 40HC (حصة من 3863 USD — SH-2026-0013)</t>
  </si>
  <si>
    <t>تحميل وتربيط 4 سيارات (حصة من 600 USD — SH-2026-0013)</t>
  </si>
  <si>
    <t>25a25e2b</t>
  </si>
  <si>
    <t>سعر الشراء — IAAI لوت 37116113</t>
  </si>
  <si>
    <t>SRC-37116113</t>
  </si>
  <si>
    <t>أجرة شحن حاوية 40HC (حصة من 4785 USD — SH-2026-0006)</t>
  </si>
  <si>
    <t>تحميل وتربيط 4 سيارات (حصة من 600 USD — SH-2026-0006)</t>
  </si>
  <si>
    <t>سعر الشراء — IAAI لوت 37948544</t>
  </si>
  <si>
    <t>SRC-37948544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</si>
</sst>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0"/>
    <numFmt numFmtId="166" formatCode="yyyy-mm-dd"/>
  </numFmts>
  <fonts count="6" x14ac:knownFonts="1">
    <font>
      <color theme="1"/>
      <family val="2"/>
      <scheme val="minor"/>
      <sz val="11"/>
      <name val="Calibri"/>
    </font>
    <font>
      <b/>
      <color rgb="FF0B1628"/>
      <sz val="18"/>
    </font>
    <font>
      <b/>
      <color rgb="FFA8874A"/>
      <sz val="15"/>
    </font>
    <font>
      <b/>
      <color rgb="FFFFFFFF"/>
    </font>
    <font>
      <b/>
      <color rgb="FF047857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4" fontId="3" fillId="2" borderId="0" xfId="0" applyNumberFormat="1" applyFont="1" applyFill="1" applyAlignment="1">
      <alignment horizontal="center" vertical="center" wrapText="1"/>
    </xf>
    <xf numFmtId="164" fontId="4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165" fontId="0" fillId="0" borderId="0" xfId="0" applyNumberFormat="1"/>
    <xf numFmtId="166" fontId="0" fillId="0" borderId="0" xfId="0" applyNumberFormat="1"/>
    <xf numFmtId="165" fontId="3" fillId="2" borderId="0" xfId="0" applyNumberFormat="1" applyFont="1" applyFill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22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ht="32" customHeight="1" spans="1:2" s="3" customFormat="1" x14ac:dyDescent="0.25">
      <c r="A7" s="3" t="s">
        <v>5</v>
      </c>
      <c r="B7" s="3" t="s">
        <v>6</v>
      </c>
    </row>
    <row r="8" spans="1:2" x14ac:dyDescent="0.25">
      <c r="A8" t="s">
        <v>7</v>
      </c>
      <c r="B8">
        <v>58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 s="4">
        <v>5107220.402</v>
      </c>
    </row>
    <row r="11" spans="1:2" x14ac:dyDescent="0.25">
      <c r="A11" t="s">
        <v>10</v>
      </c>
      <c r="B11" s="4">
        <v>179943.436</v>
      </c>
    </row>
    <row r="12" spans="1:2" x14ac:dyDescent="0.25">
      <c r="A12" t="s">
        <v>11</v>
      </c>
      <c r="B12" s="4">
        <v>407941.646</v>
      </c>
    </row>
    <row r="13" spans="1:2" x14ac:dyDescent="0.25">
      <c r="A13" t="s">
        <v>12</v>
      </c>
      <c r="B13" s="4">
        <v>26834</v>
      </c>
    </row>
    <row r="14" spans="1:2" x14ac:dyDescent="0.25">
      <c r="A14" t="s">
        <v>13</v>
      </c>
      <c r="B14" s="4">
        <v>664506.5</v>
      </c>
    </row>
    <row r="15" spans="1:2" x14ac:dyDescent="0.25">
      <c r="A15" t="s">
        <v>14</v>
      </c>
      <c r="B15" s="4">
        <v>11912</v>
      </c>
    </row>
    <row r="16" spans="1:2" x14ac:dyDescent="0.25">
      <c r="A16" t="s">
        <v>15</v>
      </c>
      <c r="B16" s="4">
        <v>86202</v>
      </c>
    </row>
    <row r="17" spans="1:2" x14ac:dyDescent="0.25">
      <c r="A17" t="s">
        <v>16</v>
      </c>
      <c r="B17" s="4">
        <v>0</v>
      </c>
    </row>
    <row r="18" spans="1:2" x14ac:dyDescent="0.25">
      <c r="A18" t="s">
        <v>17</v>
      </c>
      <c r="B18" s="4">
        <v>6484559.984</v>
      </c>
    </row>
    <row r="19" spans="1:2" x14ac:dyDescent="0.25">
      <c r="A19" t="s">
        <v>18</v>
      </c>
      <c r="B19" s="4">
        <v>231368.688</v>
      </c>
    </row>
    <row r="20" spans="1:2" x14ac:dyDescent="0.25">
      <c r="A20" t="s">
        <v>19</v>
      </c>
      <c r="B20" s="4">
        <v>1305000</v>
      </c>
    </row>
    <row r="21" spans="1:2" x14ac:dyDescent="0.25">
      <c r="A21" t="s">
        <v>20</v>
      </c>
      <c r="B21" s="4">
        <v>204540.253</v>
      </c>
    </row>
    <row r="22" spans="1:2" x14ac:dyDescent="0.25">
      <c r="A22" t="s">
        <v>21</v>
      </c>
      <c r="B22">
        <v>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workbookViewId="0" rightToLeft="1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26" customWidth="1"/>
    <col min="4" max="5" width="18" customWidth="1"/>
    <col min="6" max="6" width="15" customWidth="1"/>
    <col min="7" max="14" width="15" style="4" customWidth="1"/>
    <col min="15" max="15" width="17" style="4" customWidth="1"/>
    <col min="16" max="16" width="14" style="4" customWidth="1"/>
    <col min="17" max="18" width="15" style="4" customWidth="1"/>
  </cols>
  <sheetData>
    <row r="1" ht="32" customHeight="1" spans="1:18" s="3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</row>
    <row r="2" spans="1:18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4">
        <v>44166.116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44166.116</v>
      </c>
      <c r="P2" s="4">
        <v>1114.04</v>
      </c>
      <c r="Q2" s="4"/>
      <c r="R2" s="4"/>
    </row>
    <row r="3" spans="1:18" x14ac:dyDescent="0.25">
      <c r="A3" t="s">
        <v>46</v>
      </c>
      <c r="B3" t="s">
        <v>47</v>
      </c>
      <c r="C3" t="s">
        <v>48</v>
      </c>
      <c r="D3" t="s">
        <v>43</v>
      </c>
      <c r="E3" t="s">
        <v>49</v>
      </c>
      <c r="F3" t="s">
        <v>45</v>
      </c>
      <c r="G3" s="4">
        <v>40741.725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40741.725</v>
      </c>
      <c r="P3" s="4">
        <v>1111.34</v>
      </c>
      <c r="Q3" s="4"/>
      <c r="R3" s="4"/>
    </row>
    <row r="4" spans="1:18" x14ac:dyDescent="0.25">
      <c r="A4" t="s">
        <v>50</v>
      </c>
      <c r="B4" t="s">
        <v>51</v>
      </c>
      <c r="C4" t="s">
        <v>52</v>
      </c>
      <c r="D4" t="s">
        <v>43</v>
      </c>
      <c r="E4" t="s">
        <v>53</v>
      </c>
      <c r="F4" t="s">
        <v>45</v>
      </c>
      <c r="G4" s="4">
        <v>33902.671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33902.671</v>
      </c>
      <c r="P4" s="4">
        <v>1112.84</v>
      </c>
      <c r="Q4" s="4"/>
      <c r="R4" s="4"/>
    </row>
    <row r="5" spans="1:18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45</v>
      </c>
      <c r="G5" s="4">
        <v>71687.204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71687.204</v>
      </c>
      <c r="P5" s="4">
        <v>1114.28</v>
      </c>
      <c r="Q5" s="4"/>
      <c r="R5" s="4"/>
    </row>
    <row r="6" spans="1:18" x14ac:dyDescent="0.25">
      <c r="A6" t="s">
        <v>59</v>
      </c>
      <c r="B6" t="s">
        <v>60</v>
      </c>
      <c r="C6" t="s">
        <v>61</v>
      </c>
      <c r="D6" t="s">
        <v>57</v>
      </c>
      <c r="E6" t="s">
        <v>62</v>
      </c>
      <c r="F6" t="s">
        <v>45</v>
      </c>
      <c r="G6" s="4">
        <v>49639.273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49639.273</v>
      </c>
      <c r="P6" s="4">
        <v>1115.74</v>
      </c>
      <c r="Q6" s="4"/>
      <c r="R6" s="4"/>
    </row>
    <row r="7" spans="1:18" x14ac:dyDescent="0.25">
      <c r="A7" t="s">
        <v>63</v>
      </c>
      <c r="B7" t="s">
        <v>64</v>
      </c>
      <c r="C7" t="s">
        <v>65</v>
      </c>
      <c r="D7" t="s">
        <v>57</v>
      </c>
      <c r="E7" t="s">
        <v>66</v>
      </c>
      <c r="F7" t="s">
        <v>45</v>
      </c>
      <c r="G7" s="4">
        <v>135344.84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135344.84</v>
      </c>
      <c r="P7" s="4">
        <v>1115.74</v>
      </c>
      <c r="Q7" s="4"/>
      <c r="R7" s="4"/>
    </row>
    <row r="8" spans="1:18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45</v>
      </c>
      <c r="G8" s="4">
        <v>157448.714</v>
      </c>
      <c r="H8" s="4">
        <v>1677.3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159126.014</v>
      </c>
      <c r="P8" s="4">
        <v>0</v>
      </c>
      <c r="Q8" s="4"/>
      <c r="R8" s="4"/>
    </row>
    <row r="9" spans="1:18" x14ac:dyDescent="0.25">
      <c r="A9" t="s">
        <v>72</v>
      </c>
      <c r="B9" t="s">
        <v>73</v>
      </c>
      <c r="C9" t="s">
        <v>74</v>
      </c>
      <c r="D9" t="s">
        <v>70</v>
      </c>
      <c r="E9" t="s">
        <v>75</v>
      </c>
      <c r="F9" t="s">
        <v>45</v>
      </c>
      <c r="G9" s="4">
        <v>41987.486</v>
      </c>
      <c r="H9" s="4">
        <v>2811.665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44799.151</v>
      </c>
      <c r="P9" s="4">
        <v>0</v>
      </c>
      <c r="Q9" s="4"/>
      <c r="R9" s="4"/>
    </row>
    <row r="10" spans="1:18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45</v>
      </c>
      <c r="G10" s="4">
        <v>61848.281</v>
      </c>
      <c r="H10" s="4">
        <v>5067.245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66915.526</v>
      </c>
      <c r="P10" s="4">
        <v>0</v>
      </c>
      <c r="Q10" s="4"/>
      <c r="R10" s="4"/>
    </row>
    <row r="11" spans="1:18" x14ac:dyDescent="0.25">
      <c r="A11" t="s">
        <v>81</v>
      </c>
      <c r="B11" t="s">
        <v>82</v>
      </c>
      <c r="C11" t="s">
        <v>83</v>
      </c>
      <c r="D11" t="s">
        <v>79</v>
      </c>
      <c r="E11" t="s">
        <v>84</v>
      </c>
      <c r="F11" t="s">
        <v>45</v>
      </c>
      <c r="G11" s="4">
        <v>105841.913</v>
      </c>
      <c r="H11" s="4">
        <v>4169.556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110011.469</v>
      </c>
      <c r="P11" s="4">
        <v>0</v>
      </c>
      <c r="Q11" s="4"/>
      <c r="R11" s="4"/>
    </row>
    <row r="12" spans="1:18" x14ac:dyDescent="0.25">
      <c r="A12" t="s">
        <v>85</v>
      </c>
      <c r="B12" t="s">
        <v>86</v>
      </c>
      <c r="C12" t="s">
        <v>87</v>
      </c>
      <c r="D12" t="s">
        <v>79</v>
      </c>
      <c r="E12" t="s">
        <v>88</v>
      </c>
      <c r="F12" t="s">
        <v>45</v>
      </c>
      <c r="G12" s="4">
        <v>146610.773</v>
      </c>
      <c r="H12" s="4">
        <v>3144.051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149754.824</v>
      </c>
      <c r="P12" s="4">
        <v>0</v>
      </c>
      <c r="Q12" s="4"/>
      <c r="R12" s="4"/>
    </row>
    <row r="13" spans="1:18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s="4">
        <v>115339.423</v>
      </c>
      <c r="H13" s="4">
        <v>3624.308</v>
      </c>
      <c r="I13" s="4">
        <v>8034.948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126998.679</v>
      </c>
      <c r="P13" s="4">
        <v>6474.052</v>
      </c>
      <c r="Q13" s="4"/>
      <c r="R13" s="4"/>
    </row>
    <row r="14" spans="1:18" x14ac:dyDescent="0.25">
      <c r="A14" t="s">
        <v>95</v>
      </c>
      <c r="B14" t="s">
        <v>96</v>
      </c>
      <c r="C14" t="s">
        <v>97</v>
      </c>
      <c r="D14" t="s">
        <v>92</v>
      </c>
      <c r="E14" t="s">
        <v>98</v>
      </c>
      <c r="F14" t="s">
        <v>94</v>
      </c>
      <c r="G14" s="4">
        <v>63110.271</v>
      </c>
      <c r="H14" s="4">
        <v>2811.524</v>
      </c>
      <c r="I14" s="4">
        <v>7307.927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73229.722</v>
      </c>
      <c r="P14" s="4">
        <v>6474.052</v>
      </c>
      <c r="Q14" s="4"/>
      <c r="R14" s="4"/>
    </row>
    <row r="15" spans="1:18" x14ac:dyDescent="0.25">
      <c r="A15" t="s">
        <v>99</v>
      </c>
      <c r="B15" t="s">
        <v>100</v>
      </c>
      <c r="C15" t="s">
        <v>101</v>
      </c>
      <c r="D15" t="s">
        <v>92</v>
      </c>
      <c r="E15" t="s">
        <v>102</v>
      </c>
      <c r="F15" t="s">
        <v>94</v>
      </c>
      <c r="G15" s="4">
        <v>127005.869</v>
      </c>
      <c r="H15" s="4">
        <v>3127.332</v>
      </c>
      <c r="I15" s="4">
        <v>8196.276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138329.477</v>
      </c>
      <c r="P15" s="4">
        <v>6474.052</v>
      </c>
      <c r="Q15" s="4"/>
      <c r="R15" s="4"/>
    </row>
    <row r="16" spans="1:18" x14ac:dyDescent="0.25">
      <c r="A16" t="s">
        <v>103</v>
      </c>
      <c r="B16" t="s">
        <v>104</v>
      </c>
      <c r="C16" t="s">
        <v>105</v>
      </c>
      <c r="D16" t="s">
        <v>92</v>
      </c>
      <c r="E16" t="s">
        <v>106</v>
      </c>
      <c r="F16" t="s">
        <v>94</v>
      </c>
      <c r="G16" s="4">
        <v>72106.118</v>
      </c>
      <c r="H16" s="4">
        <v>2939.77</v>
      </c>
      <c r="I16" s="4">
        <v>7431.541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82477.429</v>
      </c>
      <c r="P16" s="4">
        <v>6474.052</v>
      </c>
      <c r="Q16" s="4"/>
      <c r="R16" s="4"/>
    </row>
    <row r="17" spans="1:18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s="4">
        <v>59943.523</v>
      </c>
      <c r="H17" s="4">
        <v>2108.018</v>
      </c>
      <c r="I17" s="4">
        <v>7471.267</v>
      </c>
      <c r="J17" s="4">
        <v>0</v>
      </c>
      <c r="K17" s="4">
        <v>10367.5</v>
      </c>
      <c r="L17" s="4">
        <v>0</v>
      </c>
      <c r="M17" s="4">
        <v>0</v>
      </c>
      <c r="N17" s="4">
        <v>0</v>
      </c>
      <c r="O17" s="4">
        <v>79890.308</v>
      </c>
      <c r="P17" s="4">
        <v>10367.5</v>
      </c>
      <c r="Q17" s="4"/>
      <c r="R17" s="4"/>
    </row>
    <row r="18" spans="1:18" x14ac:dyDescent="0.25">
      <c r="A18" t="s">
        <v>113</v>
      </c>
      <c r="B18" t="s">
        <v>114</v>
      </c>
      <c r="C18" t="s">
        <v>115</v>
      </c>
      <c r="D18" t="s">
        <v>110</v>
      </c>
      <c r="E18" t="s">
        <v>116</v>
      </c>
      <c r="F18" t="s">
        <v>112</v>
      </c>
      <c r="G18" s="4">
        <v>173979.572</v>
      </c>
      <c r="H18" s="4">
        <v>2069.089</v>
      </c>
      <c r="I18" s="4">
        <v>9064.031</v>
      </c>
      <c r="J18" s="4">
        <v>0</v>
      </c>
      <c r="K18" s="4">
        <v>31295</v>
      </c>
      <c r="L18" s="4">
        <v>0</v>
      </c>
      <c r="M18" s="4">
        <v>0</v>
      </c>
      <c r="N18" s="4">
        <v>0</v>
      </c>
      <c r="O18" s="4">
        <v>216407.692</v>
      </c>
      <c r="P18" s="4">
        <v>31295</v>
      </c>
      <c r="Q18" s="4"/>
      <c r="R18" s="4"/>
    </row>
    <row r="19" spans="1:18" x14ac:dyDescent="0.25">
      <c r="A19" t="s">
        <v>117</v>
      </c>
      <c r="B19" t="s">
        <v>118</v>
      </c>
      <c r="C19" t="s">
        <v>119</v>
      </c>
      <c r="D19" t="s">
        <v>110</v>
      </c>
      <c r="E19" t="s">
        <v>120</v>
      </c>
      <c r="F19" t="s">
        <v>112</v>
      </c>
      <c r="G19" s="4">
        <v>92663.91</v>
      </c>
      <c r="H19" s="4">
        <v>1966.652</v>
      </c>
      <c r="I19" s="4">
        <v>7927.539</v>
      </c>
      <c r="J19" s="4">
        <v>0</v>
      </c>
      <c r="K19" s="4">
        <v>16362.5</v>
      </c>
      <c r="L19" s="4">
        <v>0</v>
      </c>
      <c r="M19" s="4">
        <v>0</v>
      </c>
      <c r="N19" s="4">
        <v>0</v>
      </c>
      <c r="O19" s="4">
        <v>118920.601</v>
      </c>
      <c r="P19" s="4">
        <v>16362.5</v>
      </c>
      <c r="Q19" s="4"/>
      <c r="R19" s="4"/>
    </row>
    <row r="20" spans="1:18" x14ac:dyDescent="0.25">
      <c r="A20" t="s">
        <v>121</v>
      </c>
      <c r="B20" t="s">
        <v>122</v>
      </c>
      <c r="C20" t="s">
        <v>123</v>
      </c>
      <c r="D20" t="s">
        <v>110</v>
      </c>
      <c r="E20" t="s">
        <v>124</v>
      </c>
      <c r="F20" t="s">
        <v>112</v>
      </c>
      <c r="G20" s="4">
        <v>44304.572</v>
      </c>
      <c r="H20" s="4">
        <v>4485.026</v>
      </c>
      <c r="I20" s="4">
        <v>7251.504</v>
      </c>
      <c r="J20" s="4">
        <v>0</v>
      </c>
      <c r="K20" s="4">
        <v>7480</v>
      </c>
      <c r="L20" s="4">
        <v>0</v>
      </c>
      <c r="M20" s="4">
        <v>0</v>
      </c>
      <c r="N20" s="4">
        <v>0</v>
      </c>
      <c r="O20" s="4">
        <v>63521.102</v>
      </c>
      <c r="P20" s="4">
        <v>7480</v>
      </c>
      <c r="Q20" s="4"/>
      <c r="R20" s="4"/>
    </row>
    <row r="21" spans="1:18" x14ac:dyDescent="0.25">
      <c r="A21" t="s">
        <v>125</v>
      </c>
      <c r="B21" t="s">
        <v>126</v>
      </c>
      <c r="C21" t="s">
        <v>127</v>
      </c>
      <c r="D21" t="s">
        <v>110</v>
      </c>
      <c r="E21" t="s">
        <v>128</v>
      </c>
      <c r="F21" t="s">
        <v>129</v>
      </c>
      <c r="G21" s="4">
        <v>59009.02</v>
      </c>
      <c r="H21" s="4">
        <v>2675.907</v>
      </c>
      <c r="I21" s="4">
        <v>7424.524</v>
      </c>
      <c r="J21" s="4">
        <v>0</v>
      </c>
      <c r="K21" s="4">
        <v>10230</v>
      </c>
      <c r="L21" s="4">
        <v>0</v>
      </c>
      <c r="M21" s="4">
        <v>0</v>
      </c>
      <c r="N21" s="4">
        <v>0</v>
      </c>
      <c r="O21" s="4">
        <v>79339.451</v>
      </c>
      <c r="P21" s="4">
        <v>10230</v>
      </c>
      <c r="Q21" s="4"/>
      <c r="R21" s="4"/>
    </row>
    <row r="22" spans="1:18" x14ac:dyDescent="0.25">
      <c r="A22" t="s">
        <v>130</v>
      </c>
      <c r="B22" t="s">
        <v>131</v>
      </c>
      <c r="C22" t="s">
        <v>132</v>
      </c>
      <c r="D22" t="s">
        <v>110</v>
      </c>
      <c r="E22" t="s">
        <v>133</v>
      </c>
      <c r="F22" t="s">
        <v>129</v>
      </c>
      <c r="G22" s="4">
        <v>147503.642</v>
      </c>
      <c r="H22" s="4">
        <v>3657.108</v>
      </c>
      <c r="I22" s="4">
        <v>8653.108</v>
      </c>
      <c r="J22" s="4">
        <v>0</v>
      </c>
      <c r="K22" s="4">
        <v>26372.5</v>
      </c>
      <c r="L22" s="4">
        <v>0</v>
      </c>
      <c r="M22" s="4">
        <v>0</v>
      </c>
      <c r="N22" s="4">
        <v>0</v>
      </c>
      <c r="O22" s="4">
        <v>186186.358</v>
      </c>
      <c r="P22" s="4">
        <v>26372.5</v>
      </c>
      <c r="Q22" s="4"/>
      <c r="R22" s="4"/>
    </row>
    <row r="23" spans="1:18" x14ac:dyDescent="0.25">
      <c r="A23" t="s">
        <v>134</v>
      </c>
      <c r="B23" t="s">
        <v>135</v>
      </c>
      <c r="C23" t="s">
        <v>136</v>
      </c>
      <c r="D23" t="s">
        <v>110</v>
      </c>
      <c r="E23" t="s">
        <v>137</v>
      </c>
      <c r="F23" t="s">
        <v>129</v>
      </c>
      <c r="G23" s="4">
        <v>104168.389</v>
      </c>
      <c r="H23" s="4">
        <v>4457.244</v>
      </c>
      <c r="I23" s="4">
        <v>8048.235</v>
      </c>
      <c r="J23" s="4">
        <v>0</v>
      </c>
      <c r="K23" s="4">
        <v>18425</v>
      </c>
      <c r="L23" s="4">
        <v>0</v>
      </c>
      <c r="M23" s="4">
        <v>0</v>
      </c>
      <c r="N23" s="4">
        <v>0</v>
      </c>
      <c r="O23" s="4">
        <v>135098.868</v>
      </c>
      <c r="P23" s="4">
        <v>18425</v>
      </c>
      <c r="Q23" s="4"/>
      <c r="R23" s="4"/>
    </row>
    <row r="24" spans="1:18" x14ac:dyDescent="0.25">
      <c r="A24" t="s">
        <v>138</v>
      </c>
      <c r="B24" t="s">
        <v>139</v>
      </c>
      <c r="C24" t="s">
        <v>97</v>
      </c>
      <c r="D24" t="s">
        <v>110</v>
      </c>
      <c r="E24" t="s">
        <v>140</v>
      </c>
      <c r="F24" t="s">
        <v>129</v>
      </c>
      <c r="G24" s="4">
        <v>82597.373</v>
      </c>
      <c r="H24" s="4">
        <v>4988.719</v>
      </c>
      <c r="I24" s="4">
        <v>7751.03</v>
      </c>
      <c r="J24" s="4">
        <v>0</v>
      </c>
      <c r="K24" s="4">
        <v>14520</v>
      </c>
      <c r="L24" s="4">
        <v>0</v>
      </c>
      <c r="M24" s="4">
        <v>0</v>
      </c>
      <c r="N24" s="4">
        <v>0</v>
      </c>
      <c r="O24" s="4">
        <v>109857.122</v>
      </c>
      <c r="P24" s="4">
        <v>14520</v>
      </c>
      <c r="Q24" s="4"/>
      <c r="R24" s="4"/>
    </row>
    <row r="25" spans="1:18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  <c r="G25" s="4">
        <v>48417.138</v>
      </c>
      <c r="H25" s="4">
        <v>4299.692</v>
      </c>
      <c r="I25" s="4">
        <v>7224.255</v>
      </c>
      <c r="J25" s="4">
        <v>555</v>
      </c>
      <c r="K25" s="4">
        <v>0</v>
      </c>
      <c r="L25" s="4">
        <v>0</v>
      </c>
      <c r="M25" s="4">
        <v>0</v>
      </c>
      <c r="N25" s="4">
        <v>0</v>
      </c>
      <c r="O25" s="4">
        <v>60496.085</v>
      </c>
      <c r="P25" s="4">
        <v>555</v>
      </c>
      <c r="Q25" s="4"/>
      <c r="R25" s="4"/>
    </row>
    <row r="26" spans="1:18" x14ac:dyDescent="0.25">
      <c r="A26" t="s">
        <v>147</v>
      </c>
      <c r="B26" t="s">
        <v>148</v>
      </c>
      <c r="C26" t="s">
        <v>149</v>
      </c>
      <c r="D26" t="s">
        <v>144</v>
      </c>
      <c r="E26" t="s">
        <v>150</v>
      </c>
      <c r="F26" t="s">
        <v>146</v>
      </c>
      <c r="G26" s="4">
        <v>71340.879</v>
      </c>
      <c r="H26" s="4">
        <v>3180.332</v>
      </c>
      <c r="I26" s="4">
        <v>7541.683</v>
      </c>
      <c r="J26" s="4">
        <v>683</v>
      </c>
      <c r="K26" s="4">
        <v>0</v>
      </c>
      <c r="L26" s="4">
        <v>0</v>
      </c>
      <c r="M26" s="4">
        <v>0</v>
      </c>
      <c r="N26" s="4">
        <v>0</v>
      </c>
      <c r="O26" s="4">
        <v>82745.894</v>
      </c>
      <c r="P26" s="4">
        <v>683</v>
      </c>
      <c r="Q26" s="4"/>
      <c r="R26" s="4"/>
    </row>
    <row r="27" spans="1:18" x14ac:dyDescent="0.25">
      <c r="A27" t="s">
        <v>151</v>
      </c>
      <c r="B27" t="s">
        <v>152</v>
      </c>
      <c r="C27" t="s">
        <v>153</v>
      </c>
      <c r="D27" t="s">
        <v>144</v>
      </c>
      <c r="E27" t="s">
        <v>154</v>
      </c>
      <c r="F27" t="s">
        <v>146</v>
      </c>
      <c r="G27" s="4">
        <v>162661.514</v>
      </c>
      <c r="H27" s="4">
        <v>4177.681</v>
      </c>
      <c r="I27" s="4">
        <v>8809.303</v>
      </c>
      <c r="J27" s="4">
        <v>636</v>
      </c>
      <c r="K27" s="4">
        <v>0</v>
      </c>
      <c r="L27" s="4">
        <v>0</v>
      </c>
      <c r="M27" s="4">
        <v>0</v>
      </c>
      <c r="N27" s="4">
        <v>0</v>
      </c>
      <c r="O27" s="4">
        <v>176284.498</v>
      </c>
      <c r="P27" s="4">
        <v>636</v>
      </c>
      <c r="Q27" s="4"/>
      <c r="R27" s="4"/>
    </row>
    <row r="28" spans="1:18" x14ac:dyDescent="0.25">
      <c r="A28" t="s">
        <v>155</v>
      </c>
      <c r="B28" t="s">
        <v>156</v>
      </c>
      <c r="C28" t="s">
        <v>157</v>
      </c>
      <c r="D28" t="s">
        <v>144</v>
      </c>
      <c r="E28" t="s">
        <v>158</v>
      </c>
      <c r="F28" t="s">
        <v>146</v>
      </c>
      <c r="G28" s="4">
        <v>64957.569</v>
      </c>
      <c r="H28" s="4">
        <v>1926.471</v>
      </c>
      <c r="I28" s="4">
        <v>7451.884</v>
      </c>
      <c r="J28" s="4">
        <v>575</v>
      </c>
      <c r="K28" s="4">
        <v>0</v>
      </c>
      <c r="L28" s="4">
        <v>0</v>
      </c>
      <c r="M28" s="4">
        <v>0</v>
      </c>
      <c r="N28" s="4">
        <v>0</v>
      </c>
      <c r="O28" s="4">
        <v>74910.924</v>
      </c>
      <c r="P28" s="4">
        <v>575</v>
      </c>
      <c r="Q28" s="4"/>
      <c r="R28" s="4"/>
    </row>
    <row r="29" spans="1:18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s="4">
        <v>72809.196</v>
      </c>
      <c r="H29" s="4">
        <v>4262.262</v>
      </c>
      <c r="I29" s="4">
        <v>8102.032</v>
      </c>
      <c r="J29" s="4">
        <v>798</v>
      </c>
      <c r="K29" s="4">
        <v>12732.5</v>
      </c>
      <c r="L29" s="4">
        <v>0</v>
      </c>
      <c r="M29" s="4">
        <v>0</v>
      </c>
      <c r="N29" s="4">
        <v>0</v>
      </c>
      <c r="O29" s="4">
        <v>98703.99</v>
      </c>
      <c r="P29" s="4">
        <v>12732.5</v>
      </c>
      <c r="Q29" s="4"/>
      <c r="R29" s="4"/>
    </row>
    <row r="30" spans="1:18" x14ac:dyDescent="0.25">
      <c r="A30" t="s">
        <v>165</v>
      </c>
      <c r="B30" t="s">
        <v>166</v>
      </c>
      <c r="C30" t="s">
        <v>127</v>
      </c>
      <c r="D30" t="s">
        <v>162</v>
      </c>
      <c r="E30" t="s">
        <v>167</v>
      </c>
      <c r="F30" t="s">
        <v>164</v>
      </c>
      <c r="G30" s="4">
        <v>65885.692</v>
      </c>
      <c r="H30" s="4">
        <v>4724.832</v>
      </c>
      <c r="I30" s="4">
        <v>8003.847</v>
      </c>
      <c r="J30" s="4">
        <v>731</v>
      </c>
      <c r="K30" s="4">
        <v>11440</v>
      </c>
      <c r="L30" s="4">
        <v>0</v>
      </c>
      <c r="M30" s="4">
        <v>0</v>
      </c>
      <c r="N30" s="4">
        <v>0</v>
      </c>
      <c r="O30" s="4">
        <v>90785.371</v>
      </c>
      <c r="P30" s="4">
        <v>11440</v>
      </c>
      <c r="Q30" s="4"/>
      <c r="R30" s="4"/>
    </row>
    <row r="31" spans="1:18" x14ac:dyDescent="0.25">
      <c r="A31" t="s">
        <v>168</v>
      </c>
      <c r="B31" t="s">
        <v>169</v>
      </c>
      <c r="C31" t="s">
        <v>170</v>
      </c>
      <c r="D31" t="s">
        <v>162</v>
      </c>
      <c r="E31" t="s">
        <v>171</v>
      </c>
      <c r="F31" t="s">
        <v>164</v>
      </c>
      <c r="G31" s="4">
        <v>60327.057</v>
      </c>
      <c r="H31" s="4">
        <v>3005.587</v>
      </c>
      <c r="I31" s="4">
        <v>7926.552</v>
      </c>
      <c r="J31" s="4">
        <v>898</v>
      </c>
      <c r="K31" s="4">
        <v>10422.5</v>
      </c>
      <c r="L31" s="4">
        <v>0</v>
      </c>
      <c r="M31" s="4">
        <v>0</v>
      </c>
      <c r="N31" s="4">
        <v>0</v>
      </c>
      <c r="O31" s="4">
        <v>82579.696</v>
      </c>
      <c r="P31" s="4">
        <v>10422.5</v>
      </c>
      <c r="Q31" s="4"/>
      <c r="R31" s="4"/>
    </row>
    <row r="32" spans="1:18" x14ac:dyDescent="0.25">
      <c r="A32" t="s">
        <v>172</v>
      </c>
      <c r="B32" t="s">
        <v>173</v>
      </c>
      <c r="C32" t="s">
        <v>174</v>
      </c>
      <c r="D32" t="s">
        <v>162</v>
      </c>
      <c r="E32" t="s">
        <v>175</v>
      </c>
      <c r="F32" t="s">
        <v>164</v>
      </c>
      <c r="G32" s="4">
        <v>117125.659</v>
      </c>
      <c r="H32" s="4">
        <v>3805.374</v>
      </c>
      <c r="I32" s="4">
        <v>8718.302</v>
      </c>
      <c r="J32" s="4">
        <v>737</v>
      </c>
      <c r="K32" s="4">
        <v>20845</v>
      </c>
      <c r="L32" s="4">
        <v>0</v>
      </c>
      <c r="M32" s="4">
        <v>0</v>
      </c>
      <c r="N32" s="4">
        <v>0</v>
      </c>
      <c r="O32" s="4">
        <v>151231.335</v>
      </c>
      <c r="P32" s="4">
        <v>20845</v>
      </c>
      <c r="Q32" s="4"/>
      <c r="R32" s="4"/>
    </row>
    <row r="33" spans="1:18" x14ac:dyDescent="0.25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s="4">
        <v>127279.77</v>
      </c>
      <c r="H33" s="4">
        <v>3952.745</v>
      </c>
      <c r="I33" s="4">
        <v>7949.422</v>
      </c>
      <c r="J33" s="4">
        <v>1180</v>
      </c>
      <c r="K33" s="4">
        <v>26459</v>
      </c>
      <c r="L33" s="4">
        <v>0</v>
      </c>
      <c r="M33" s="4">
        <v>0</v>
      </c>
      <c r="N33" s="4">
        <v>0</v>
      </c>
      <c r="O33" s="4">
        <v>166820.937</v>
      </c>
      <c r="P33" s="4">
        <v>0</v>
      </c>
      <c r="Q33" s="4"/>
      <c r="R33" s="4"/>
    </row>
    <row r="34" spans="1:18" x14ac:dyDescent="0.25">
      <c r="A34" t="s">
        <v>182</v>
      </c>
      <c r="B34" t="s">
        <v>183</v>
      </c>
      <c r="C34" t="s">
        <v>184</v>
      </c>
      <c r="D34" t="s">
        <v>179</v>
      </c>
      <c r="E34" t="s">
        <v>185</v>
      </c>
      <c r="F34" t="s">
        <v>181</v>
      </c>
      <c r="G34" s="4">
        <v>40157.494</v>
      </c>
      <c r="H34" s="4">
        <v>3583.582</v>
      </c>
      <c r="I34" s="4">
        <v>6737.187</v>
      </c>
      <c r="J34" s="4">
        <v>858</v>
      </c>
      <c r="K34" s="4">
        <v>8253</v>
      </c>
      <c r="L34" s="4">
        <v>0</v>
      </c>
      <c r="M34" s="4">
        <v>0</v>
      </c>
      <c r="N34" s="4">
        <v>0</v>
      </c>
      <c r="O34" s="4">
        <v>59589.263</v>
      </c>
      <c r="P34" s="4">
        <v>0</v>
      </c>
      <c r="Q34" s="4"/>
      <c r="R34" s="4"/>
    </row>
    <row r="35" spans="1:18" x14ac:dyDescent="0.25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181</v>
      </c>
      <c r="G35" s="4">
        <v>185804.884</v>
      </c>
      <c r="H35" s="4">
        <v>3593.943</v>
      </c>
      <c r="I35" s="4">
        <v>8763.142</v>
      </c>
      <c r="J35" s="4">
        <v>700</v>
      </c>
      <c r="K35" s="4">
        <v>38866</v>
      </c>
      <c r="L35" s="4">
        <v>347</v>
      </c>
      <c r="M35" s="4">
        <v>0</v>
      </c>
      <c r="N35" s="4">
        <v>0</v>
      </c>
      <c r="O35" s="4">
        <v>238074.969</v>
      </c>
      <c r="P35" s="4">
        <v>0</v>
      </c>
      <c r="Q35" s="4"/>
      <c r="R35" s="4"/>
    </row>
    <row r="36" spans="1:18" x14ac:dyDescent="0.25">
      <c r="A36" t="s">
        <v>191</v>
      </c>
      <c r="B36" t="s">
        <v>192</v>
      </c>
      <c r="C36" t="s">
        <v>193</v>
      </c>
      <c r="D36" t="s">
        <v>189</v>
      </c>
      <c r="E36" t="s">
        <v>194</v>
      </c>
      <c r="F36" t="s">
        <v>181</v>
      </c>
      <c r="G36" s="4">
        <v>94476.453</v>
      </c>
      <c r="H36" s="4">
        <v>4298.249</v>
      </c>
      <c r="I36" s="4">
        <v>7496.66</v>
      </c>
      <c r="J36" s="4">
        <v>674</v>
      </c>
      <c r="K36" s="4">
        <v>19689</v>
      </c>
      <c r="L36" s="4">
        <v>622</v>
      </c>
      <c r="M36" s="4">
        <v>0</v>
      </c>
      <c r="N36" s="4">
        <v>0</v>
      </c>
      <c r="O36" s="4">
        <v>127256.362</v>
      </c>
      <c r="P36" s="4">
        <v>0</v>
      </c>
      <c r="Q36" s="4"/>
      <c r="R36" s="4"/>
    </row>
    <row r="37" spans="1:18" x14ac:dyDescent="0.25">
      <c r="A37" t="s">
        <v>195</v>
      </c>
      <c r="B37" t="s">
        <v>196</v>
      </c>
      <c r="C37" t="s">
        <v>65</v>
      </c>
      <c r="D37" t="s">
        <v>197</v>
      </c>
      <c r="E37" t="s">
        <v>198</v>
      </c>
      <c r="F37" t="s">
        <v>199</v>
      </c>
      <c r="G37" s="4">
        <v>137818.91</v>
      </c>
      <c r="H37" s="4">
        <v>4356.923</v>
      </c>
      <c r="I37" s="4">
        <v>8638.292</v>
      </c>
      <c r="J37" s="4">
        <v>633</v>
      </c>
      <c r="K37" s="4">
        <v>28737</v>
      </c>
      <c r="L37" s="4">
        <v>657</v>
      </c>
      <c r="M37" s="4">
        <v>1615</v>
      </c>
      <c r="N37" s="4">
        <v>0</v>
      </c>
      <c r="O37" s="4">
        <v>182456.125</v>
      </c>
      <c r="P37" s="4">
        <v>0</v>
      </c>
      <c r="Q37" s="4"/>
      <c r="R37" s="4"/>
    </row>
    <row r="38" spans="1:18" x14ac:dyDescent="0.25">
      <c r="A38" t="s">
        <v>200</v>
      </c>
      <c r="B38" t="s">
        <v>201</v>
      </c>
      <c r="C38" t="s">
        <v>202</v>
      </c>
      <c r="D38" t="s">
        <v>197</v>
      </c>
      <c r="E38" t="s">
        <v>203</v>
      </c>
      <c r="F38" t="s">
        <v>199</v>
      </c>
      <c r="G38" s="4">
        <v>36175.905</v>
      </c>
      <c r="H38" s="4">
        <v>1844.437</v>
      </c>
      <c r="I38" s="4">
        <v>7225.964</v>
      </c>
      <c r="J38" s="4">
        <v>579</v>
      </c>
      <c r="K38" s="4">
        <v>7374</v>
      </c>
      <c r="L38" s="4">
        <v>480</v>
      </c>
      <c r="M38" s="4">
        <v>4479</v>
      </c>
      <c r="N38" s="4">
        <v>0</v>
      </c>
      <c r="O38" s="4">
        <v>58158.306</v>
      </c>
      <c r="P38" s="4">
        <v>0</v>
      </c>
      <c r="Q38" s="4"/>
      <c r="R38" s="4"/>
    </row>
    <row r="39" spans="1:18" x14ac:dyDescent="0.25">
      <c r="A39" t="s">
        <v>204</v>
      </c>
      <c r="B39" t="s">
        <v>205</v>
      </c>
      <c r="C39" t="s">
        <v>206</v>
      </c>
      <c r="D39" t="s">
        <v>197</v>
      </c>
      <c r="E39" t="s">
        <v>207</v>
      </c>
      <c r="F39" t="s">
        <v>199</v>
      </c>
      <c r="G39" s="4">
        <v>64077.884</v>
      </c>
      <c r="H39" s="4">
        <v>5082.333</v>
      </c>
      <c r="I39" s="4">
        <v>7612.846</v>
      </c>
      <c r="J39" s="4">
        <v>595</v>
      </c>
      <c r="K39" s="4">
        <v>13290</v>
      </c>
      <c r="L39" s="4">
        <v>587</v>
      </c>
      <c r="M39" s="4">
        <v>5823</v>
      </c>
      <c r="N39" s="4">
        <v>0</v>
      </c>
      <c r="O39" s="4">
        <v>97068.063</v>
      </c>
      <c r="P39" s="4">
        <v>0</v>
      </c>
      <c r="Q39" s="4"/>
      <c r="R39" s="4"/>
    </row>
    <row r="40" spans="1:18" x14ac:dyDescent="0.25">
      <c r="A40" t="s">
        <v>208</v>
      </c>
      <c r="B40" t="s">
        <v>209</v>
      </c>
      <c r="C40" t="s">
        <v>210</v>
      </c>
      <c r="D40" t="s">
        <v>197</v>
      </c>
      <c r="E40" t="s">
        <v>211</v>
      </c>
      <c r="F40" t="s">
        <v>199</v>
      </c>
      <c r="G40" s="4">
        <v>76286.19</v>
      </c>
      <c r="H40" s="4">
        <v>4174.893</v>
      </c>
      <c r="I40" s="4">
        <v>7783.407</v>
      </c>
      <c r="J40" s="4">
        <v>632</v>
      </c>
      <c r="K40" s="4">
        <v>15755</v>
      </c>
      <c r="L40" s="4">
        <v>661</v>
      </c>
      <c r="M40" s="4">
        <v>7753</v>
      </c>
      <c r="N40" s="4">
        <v>0</v>
      </c>
      <c r="O40" s="4">
        <v>113045.49</v>
      </c>
      <c r="P40" s="4">
        <v>0</v>
      </c>
      <c r="Q40" s="4"/>
      <c r="R40" s="4"/>
    </row>
    <row r="41" spans="1:18" x14ac:dyDescent="0.25">
      <c r="A41" t="s">
        <v>212</v>
      </c>
      <c r="B41" t="s">
        <v>213</v>
      </c>
      <c r="C41" t="s">
        <v>214</v>
      </c>
      <c r="D41" t="s">
        <v>197</v>
      </c>
      <c r="E41" t="s">
        <v>215</v>
      </c>
      <c r="F41" t="s">
        <v>216</v>
      </c>
      <c r="G41" s="4">
        <v>57527.016</v>
      </c>
      <c r="H41" s="4">
        <v>4988.434</v>
      </c>
      <c r="I41" s="4">
        <v>7578.873</v>
      </c>
      <c r="J41" s="4">
        <v>894</v>
      </c>
      <c r="K41" s="4">
        <v>11876</v>
      </c>
      <c r="L41" s="4">
        <v>322</v>
      </c>
      <c r="M41" s="4">
        <v>4332</v>
      </c>
      <c r="N41" s="4">
        <v>0</v>
      </c>
      <c r="O41" s="4">
        <v>87518.323</v>
      </c>
      <c r="P41" s="4">
        <v>0</v>
      </c>
      <c r="Q41" s="4"/>
      <c r="R41" s="4"/>
    </row>
    <row r="42" spans="1:18" x14ac:dyDescent="0.25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 t="s">
        <v>216</v>
      </c>
      <c r="G42" s="4">
        <v>107663.97</v>
      </c>
      <c r="H42" s="4">
        <v>2018.588</v>
      </c>
      <c r="I42" s="4">
        <v>8275.677</v>
      </c>
      <c r="J42" s="4">
        <v>569</v>
      </c>
      <c r="K42" s="4">
        <v>22475</v>
      </c>
      <c r="L42" s="4">
        <v>538</v>
      </c>
      <c r="M42" s="4">
        <v>0</v>
      </c>
      <c r="N42" s="4">
        <v>0</v>
      </c>
      <c r="O42" s="4">
        <v>141540.235</v>
      </c>
      <c r="P42" s="4">
        <v>0</v>
      </c>
      <c r="Q42" s="4"/>
      <c r="R42" s="4"/>
    </row>
    <row r="43" spans="1:18" x14ac:dyDescent="0.25">
      <c r="A43" t="s">
        <v>222</v>
      </c>
      <c r="B43" t="s">
        <v>223</v>
      </c>
      <c r="C43" t="s">
        <v>224</v>
      </c>
      <c r="D43" t="s">
        <v>220</v>
      </c>
      <c r="E43" t="s">
        <v>225</v>
      </c>
      <c r="F43" t="s">
        <v>216</v>
      </c>
      <c r="G43" s="4">
        <v>59212.056</v>
      </c>
      <c r="H43" s="4">
        <v>5011.086</v>
      </c>
      <c r="I43" s="4">
        <v>7599.673</v>
      </c>
      <c r="J43" s="4">
        <v>1221</v>
      </c>
      <c r="K43" s="4">
        <v>12337</v>
      </c>
      <c r="L43" s="4">
        <v>450</v>
      </c>
      <c r="M43" s="4">
        <v>10611</v>
      </c>
      <c r="N43" s="4">
        <v>0</v>
      </c>
      <c r="O43" s="4">
        <v>96441.815</v>
      </c>
      <c r="P43" s="4">
        <v>0</v>
      </c>
      <c r="Q43" s="4"/>
      <c r="R43" s="4"/>
    </row>
    <row r="44" spans="1:18" x14ac:dyDescent="0.25">
      <c r="A44" t="s">
        <v>226</v>
      </c>
      <c r="B44" t="s">
        <v>227</v>
      </c>
      <c r="C44" t="s">
        <v>228</v>
      </c>
      <c r="D44" t="s">
        <v>220</v>
      </c>
      <c r="E44" t="s">
        <v>229</v>
      </c>
      <c r="F44" t="s">
        <v>216</v>
      </c>
      <c r="G44" s="4">
        <v>116927.886</v>
      </c>
      <c r="H44" s="4">
        <v>2184.884</v>
      </c>
      <c r="I44" s="4">
        <v>8404.638</v>
      </c>
      <c r="J44" s="4">
        <v>577</v>
      </c>
      <c r="K44" s="4">
        <v>24413</v>
      </c>
      <c r="L44" s="4">
        <v>478</v>
      </c>
      <c r="M44" s="4">
        <v>0</v>
      </c>
      <c r="N44" s="4">
        <v>0</v>
      </c>
      <c r="O44" s="4">
        <v>152985.408</v>
      </c>
      <c r="P44" s="4">
        <v>0</v>
      </c>
      <c r="Q44" s="4"/>
      <c r="R44" s="4"/>
    </row>
    <row r="45" spans="1:18" x14ac:dyDescent="0.25">
      <c r="A45" t="s">
        <v>230</v>
      </c>
      <c r="B45" t="s">
        <v>231</v>
      </c>
      <c r="C45" t="s">
        <v>232</v>
      </c>
      <c r="D45" t="s">
        <v>220</v>
      </c>
      <c r="E45" t="s">
        <v>233</v>
      </c>
      <c r="F45" t="s">
        <v>234</v>
      </c>
      <c r="G45" s="4">
        <v>74388.576</v>
      </c>
      <c r="H45" s="4">
        <v>2659.359</v>
      </c>
      <c r="I45" s="4">
        <v>8427.542</v>
      </c>
      <c r="J45" s="4">
        <v>770</v>
      </c>
      <c r="K45" s="4">
        <v>15395</v>
      </c>
      <c r="L45" s="4">
        <v>362</v>
      </c>
      <c r="M45" s="4">
        <v>1480</v>
      </c>
      <c r="N45" s="4">
        <v>0</v>
      </c>
      <c r="O45" s="4">
        <v>103482.477</v>
      </c>
      <c r="P45" s="4">
        <v>0</v>
      </c>
      <c r="Q45" s="4"/>
      <c r="R45" s="4"/>
    </row>
    <row r="46" spans="1:18" x14ac:dyDescent="0.25">
      <c r="A46" t="s">
        <v>235</v>
      </c>
      <c r="B46" t="s">
        <v>236</v>
      </c>
      <c r="C46" t="s">
        <v>161</v>
      </c>
      <c r="D46" t="s">
        <v>220</v>
      </c>
      <c r="E46" t="s">
        <v>237</v>
      </c>
      <c r="F46" t="s">
        <v>234</v>
      </c>
      <c r="G46" s="4">
        <v>57959.05</v>
      </c>
      <c r="H46" s="4">
        <v>4396.369</v>
      </c>
      <c r="I46" s="4">
        <v>8196.298</v>
      </c>
      <c r="J46" s="4">
        <v>645</v>
      </c>
      <c r="K46" s="4">
        <v>12039</v>
      </c>
      <c r="L46" s="4">
        <v>645</v>
      </c>
      <c r="M46" s="4">
        <v>6950</v>
      </c>
      <c r="N46" s="4">
        <v>0</v>
      </c>
      <c r="O46" s="4">
        <v>90830.717</v>
      </c>
      <c r="P46" s="4">
        <v>0</v>
      </c>
      <c r="Q46" s="4"/>
      <c r="R46" s="4"/>
    </row>
    <row r="47" spans="1:18" x14ac:dyDescent="0.25">
      <c r="A47" t="s">
        <v>238</v>
      </c>
      <c r="B47" t="s">
        <v>239</v>
      </c>
      <c r="C47" t="s">
        <v>240</v>
      </c>
      <c r="D47" t="s">
        <v>220</v>
      </c>
      <c r="E47" t="s">
        <v>241</v>
      </c>
      <c r="F47" t="s">
        <v>234</v>
      </c>
      <c r="G47" s="4">
        <v>70357.749</v>
      </c>
      <c r="H47" s="4">
        <v>2679.919</v>
      </c>
      <c r="I47" s="4">
        <v>8369.21</v>
      </c>
      <c r="J47" s="4">
        <v>751</v>
      </c>
      <c r="K47" s="4">
        <v>14707</v>
      </c>
      <c r="L47" s="4">
        <v>370</v>
      </c>
      <c r="M47" s="4">
        <v>3669</v>
      </c>
      <c r="N47" s="4">
        <v>0</v>
      </c>
      <c r="O47" s="4">
        <v>100903.878</v>
      </c>
      <c r="P47" s="4">
        <v>0</v>
      </c>
      <c r="Q47" s="4"/>
      <c r="R47" s="4"/>
    </row>
    <row r="48" spans="1:18" x14ac:dyDescent="0.25">
      <c r="A48" t="s">
        <v>242</v>
      </c>
      <c r="B48" t="s">
        <v>243</v>
      </c>
      <c r="C48" t="s">
        <v>244</v>
      </c>
      <c r="D48" t="s">
        <v>220</v>
      </c>
      <c r="E48" t="s">
        <v>245</v>
      </c>
      <c r="F48" t="s">
        <v>234</v>
      </c>
      <c r="G48" s="4">
        <v>122839.479</v>
      </c>
      <c r="H48" s="4">
        <v>4588.535</v>
      </c>
      <c r="I48" s="4">
        <v>9100.44</v>
      </c>
      <c r="J48" s="4">
        <v>836</v>
      </c>
      <c r="K48" s="4">
        <v>25601</v>
      </c>
      <c r="L48" s="4">
        <v>540</v>
      </c>
      <c r="M48" s="4">
        <v>0</v>
      </c>
      <c r="N48" s="4">
        <v>0</v>
      </c>
      <c r="O48" s="4">
        <v>163505.454</v>
      </c>
      <c r="P48" s="4">
        <v>0</v>
      </c>
      <c r="Q48" s="4"/>
      <c r="R48" s="4"/>
    </row>
    <row r="49" spans="1:18" x14ac:dyDescent="0.25">
      <c r="A49" t="s">
        <v>246</v>
      </c>
      <c r="B49" t="s">
        <v>247</v>
      </c>
      <c r="C49" t="s">
        <v>170</v>
      </c>
      <c r="D49" t="s">
        <v>220</v>
      </c>
      <c r="E49" t="s">
        <v>248</v>
      </c>
      <c r="F49" t="s">
        <v>249</v>
      </c>
      <c r="G49" s="4">
        <v>40816.4</v>
      </c>
      <c r="H49" s="4">
        <v>2292.861</v>
      </c>
      <c r="I49" s="4">
        <v>7198.678</v>
      </c>
      <c r="J49" s="4">
        <v>823</v>
      </c>
      <c r="K49" s="4">
        <v>8329</v>
      </c>
      <c r="L49" s="4">
        <v>485</v>
      </c>
      <c r="M49" s="4">
        <v>3942</v>
      </c>
      <c r="N49" s="4">
        <v>0</v>
      </c>
      <c r="O49" s="4">
        <v>63886.939</v>
      </c>
      <c r="P49" s="4">
        <v>0</v>
      </c>
      <c r="Q49" s="4"/>
      <c r="R49" s="4"/>
    </row>
    <row r="50" spans="1:18" x14ac:dyDescent="0.25">
      <c r="A50" t="s">
        <v>250</v>
      </c>
      <c r="B50" t="s">
        <v>251</v>
      </c>
      <c r="C50" t="s">
        <v>101</v>
      </c>
      <c r="D50" t="s">
        <v>252</v>
      </c>
      <c r="E50" t="s">
        <v>253</v>
      </c>
      <c r="F50" t="s">
        <v>249</v>
      </c>
      <c r="G50" s="4">
        <v>93896.773</v>
      </c>
      <c r="H50" s="4">
        <v>2499.707</v>
      </c>
      <c r="I50" s="4">
        <v>7940.137</v>
      </c>
      <c r="J50" s="4">
        <v>1190</v>
      </c>
      <c r="K50" s="4">
        <v>19628</v>
      </c>
      <c r="L50" s="4">
        <v>466</v>
      </c>
      <c r="M50" s="4">
        <v>3335</v>
      </c>
      <c r="N50" s="4">
        <v>0</v>
      </c>
      <c r="O50" s="4">
        <v>128955.617</v>
      </c>
      <c r="P50" s="4">
        <v>0</v>
      </c>
      <c r="Q50" s="4">
        <v>156500</v>
      </c>
      <c r="R50" s="6">
        <v>27544.383</v>
      </c>
    </row>
    <row r="51" spans="1:18" x14ac:dyDescent="0.25">
      <c r="A51" t="s">
        <v>254</v>
      </c>
      <c r="B51" t="s">
        <v>255</v>
      </c>
      <c r="C51" t="s">
        <v>256</v>
      </c>
      <c r="D51" t="s">
        <v>252</v>
      </c>
      <c r="E51" t="s">
        <v>257</v>
      </c>
      <c r="F51" t="s">
        <v>249</v>
      </c>
      <c r="G51" s="4">
        <v>60817.123</v>
      </c>
      <c r="H51" s="4">
        <v>3820.217</v>
      </c>
      <c r="I51" s="4">
        <v>7477.767</v>
      </c>
      <c r="J51" s="4">
        <v>758</v>
      </c>
      <c r="K51" s="4">
        <v>12649</v>
      </c>
      <c r="L51" s="4">
        <v>499</v>
      </c>
      <c r="M51" s="4">
        <v>4873</v>
      </c>
      <c r="N51" s="4">
        <v>0</v>
      </c>
      <c r="O51" s="4">
        <v>90894.107</v>
      </c>
      <c r="P51" s="4">
        <v>0</v>
      </c>
      <c r="Q51" s="4">
        <v>119000</v>
      </c>
      <c r="R51" s="6">
        <v>28105.893</v>
      </c>
    </row>
    <row r="52" spans="1:18" x14ac:dyDescent="0.25">
      <c r="A52" t="s">
        <v>258</v>
      </c>
      <c r="B52" t="s">
        <v>259</v>
      </c>
      <c r="C52" t="s">
        <v>260</v>
      </c>
      <c r="D52" t="s">
        <v>252</v>
      </c>
      <c r="E52" t="s">
        <v>261</v>
      </c>
      <c r="F52" t="s">
        <v>249</v>
      </c>
      <c r="G52" s="4">
        <v>158241.564</v>
      </c>
      <c r="H52" s="4">
        <v>2156.214</v>
      </c>
      <c r="I52" s="4">
        <v>8833.637</v>
      </c>
      <c r="J52" s="4">
        <v>849</v>
      </c>
      <c r="K52" s="4">
        <v>33147</v>
      </c>
      <c r="L52" s="4">
        <v>624</v>
      </c>
      <c r="M52" s="4">
        <v>8338</v>
      </c>
      <c r="N52" s="4">
        <v>0</v>
      </c>
      <c r="O52" s="4">
        <v>212189.415</v>
      </c>
      <c r="P52" s="4">
        <v>0</v>
      </c>
      <c r="Q52" s="4">
        <v>236500</v>
      </c>
      <c r="R52" s="6">
        <v>24310.585</v>
      </c>
    </row>
    <row r="53" spans="1:18" x14ac:dyDescent="0.25">
      <c r="A53" t="s">
        <v>262</v>
      </c>
      <c r="B53" t="s">
        <v>263</v>
      </c>
      <c r="C53" t="s">
        <v>264</v>
      </c>
      <c r="D53" t="s">
        <v>252</v>
      </c>
      <c r="E53" t="s">
        <v>265</v>
      </c>
      <c r="F53" t="s">
        <v>266</v>
      </c>
      <c r="G53" s="4">
        <v>58042.762</v>
      </c>
      <c r="H53" s="4">
        <v>3596.203</v>
      </c>
      <c r="I53" s="4">
        <v>7482.362</v>
      </c>
      <c r="J53" s="4">
        <v>1263</v>
      </c>
      <c r="K53" s="4">
        <v>11944</v>
      </c>
      <c r="L53" s="4">
        <v>519</v>
      </c>
      <c r="M53" s="4">
        <v>5684</v>
      </c>
      <c r="N53" s="4">
        <v>0</v>
      </c>
      <c r="O53" s="4">
        <v>88531.327</v>
      </c>
      <c r="P53" s="4">
        <v>0</v>
      </c>
      <c r="Q53" s="4">
        <v>95500</v>
      </c>
      <c r="R53" s="6">
        <v>6968.673</v>
      </c>
    </row>
    <row r="54" spans="1:18" x14ac:dyDescent="0.25">
      <c r="A54" t="s">
        <v>267</v>
      </c>
      <c r="B54" t="s">
        <v>268</v>
      </c>
      <c r="C54" t="s">
        <v>269</v>
      </c>
      <c r="D54" t="s">
        <v>270</v>
      </c>
      <c r="E54" t="s">
        <v>271</v>
      </c>
      <c r="F54" t="s">
        <v>266</v>
      </c>
      <c r="G54" s="4">
        <v>86365.269</v>
      </c>
      <c r="H54" s="4">
        <v>2900.834</v>
      </c>
      <c r="I54" s="4">
        <v>7879.086</v>
      </c>
      <c r="J54" s="4">
        <v>626</v>
      </c>
      <c r="K54" s="4">
        <v>17995</v>
      </c>
      <c r="L54" s="4">
        <v>691</v>
      </c>
      <c r="M54" s="4">
        <v>252</v>
      </c>
      <c r="N54" s="4">
        <v>0</v>
      </c>
      <c r="O54" s="4">
        <v>116709.189</v>
      </c>
      <c r="P54" s="4">
        <v>0</v>
      </c>
      <c r="Q54" s="4">
        <v>133500</v>
      </c>
      <c r="R54" s="6">
        <v>16790.811</v>
      </c>
    </row>
    <row r="55" spans="1:18" x14ac:dyDescent="0.25">
      <c r="A55" t="s">
        <v>272</v>
      </c>
      <c r="B55" t="s">
        <v>273</v>
      </c>
      <c r="C55" t="s">
        <v>170</v>
      </c>
      <c r="D55" t="s">
        <v>270</v>
      </c>
      <c r="E55" t="s">
        <v>274</v>
      </c>
      <c r="F55" t="s">
        <v>266</v>
      </c>
      <c r="G55" s="4">
        <v>72449.241</v>
      </c>
      <c r="H55" s="4">
        <v>3219.772</v>
      </c>
      <c r="I55" s="4">
        <v>7687.994</v>
      </c>
      <c r="J55" s="4">
        <v>695</v>
      </c>
      <c r="K55" s="4">
        <v>15141</v>
      </c>
      <c r="L55" s="4">
        <v>553</v>
      </c>
      <c r="M55" s="4">
        <v>3930</v>
      </c>
      <c r="N55" s="4">
        <v>0</v>
      </c>
      <c r="O55" s="4">
        <v>103676.007</v>
      </c>
      <c r="P55" s="4">
        <v>0</v>
      </c>
      <c r="Q55" s="4">
        <v>139000</v>
      </c>
      <c r="R55" s="6">
        <v>35323.993</v>
      </c>
    </row>
    <row r="56" spans="1:18" x14ac:dyDescent="0.25">
      <c r="A56" t="s">
        <v>275</v>
      </c>
      <c r="B56" t="s">
        <v>276</v>
      </c>
      <c r="C56" t="s">
        <v>153</v>
      </c>
      <c r="D56" t="s">
        <v>270</v>
      </c>
      <c r="E56" t="s">
        <v>277</v>
      </c>
      <c r="F56" t="s">
        <v>266</v>
      </c>
      <c r="G56" s="4">
        <v>148654.133</v>
      </c>
      <c r="H56" s="4">
        <v>3947.682</v>
      </c>
      <c r="I56" s="4">
        <v>8749.385</v>
      </c>
      <c r="J56" s="4">
        <v>604</v>
      </c>
      <c r="K56" s="4">
        <v>31090</v>
      </c>
      <c r="L56" s="4">
        <v>588</v>
      </c>
      <c r="M56" s="4">
        <v>2408</v>
      </c>
      <c r="N56" s="4">
        <v>0</v>
      </c>
      <c r="O56" s="4">
        <v>196041.2</v>
      </c>
      <c r="P56" s="4">
        <v>0</v>
      </c>
      <c r="Q56" s="4">
        <v>236000</v>
      </c>
      <c r="R56" s="6">
        <v>39958.8</v>
      </c>
    </row>
    <row r="57" spans="1:18" x14ac:dyDescent="0.25">
      <c r="A57" t="s">
        <v>278</v>
      </c>
      <c r="B57" t="s">
        <v>279</v>
      </c>
      <c r="C57" t="s">
        <v>280</v>
      </c>
      <c r="D57" t="s">
        <v>270</v>
      </c>
      <c r="E57" t="s">
        <v>281</v>
      </c>
      <c r="F57" t="s">
        <v>282</v>
      </c>
      <c r="G57" s="4">
        <v>104593.169</v>
      </c>
      <c r="H57" s="4">
        <v>3080.396</v>
      </c>
      <c r="I57" s="4">
        <v>26119.32</v>
      </c>
      <c r="J57" s="4">
        <v>694</v>
      </c>
      <c r="K57" s="4">
        <v>21820</v>
      </c>
      <c r="L57" s="4">
        <v>428</v>
      </c>
      <c r="M57" s="4">
        <v>6728</v>
      </c>
      <c r="N57" s="4">
        <v>0</v>
      </c>
      <c r="O57" s="4">
        <v>163462.885</v>
      </c>
      <c r="P57" s="4">
        <v>0</v>
      </c>
      <c r="Q57" s="4">
        <v>189000</v>
      </c>
      <c r="R57" s="6">
        <v>25537.115</v>
      </c>
    </row>
    <row r="58" spans="1:18" x14ac:dyDescent="0.25">
      <c r="A58" t="s">
        <v>283</v>
      </c>
      <c r="B58" t="s">
        <v>284</v>
      </c>
      <c r="C58" t="s">
        <v>285</v>
      </c>
      <c r="D58" t="s">
        <v>286</v>
      </c>
      <c r="E58" t="s">
        <v>287</v>
      </c>
      <c r="F58" t="s">
        <v>288</v>
      </c>
      <c r="G58" s="4">
        <v>129275.986</v>
      </c>
      <c r="H58" s="4">
        <v>4750.999</v>
      </c>
      <c r="I58" s="4">
        <v>16721.138</v>
      </c>
      <c r="J58" s="4">
        <v>842</v>
      </c>
      <c r="K58" s="4">
        <v>0</v>
      </c>
      <c r="L58" s="4">
        <v>0</v>
      </c>
      <c r="M58" s="4">
        <v>0</v>
      </c>
      <c r="N58" s="4">
        <v>0</v>
      </c>
      <c r="O58" s="4">
        <v>151590.123</v>
      </c>
      <c r="P58" s="4">
        <v>842</v>
      </c>
      <c r="Q58" s="4"/>
      <c r="R58" s="4"/>
    </row>
    <row r="59" spans="1:18" x14ac:dyDescent="0.25">
      <c r="A59" t="s">
        <v>289</v>
      </c>
      <c r="B59" t="s">
        <v>290</v>
      </c>
      <c r="C59" t="s">
        <v>291</v>
      </c>
      <c r="D59" t="s">
        <v>286</v>
      </c>
      <c r="E59" t="s">
        <v>292</v>
      </c>
      <c r="F59" t="s">
        <v>288</v>
      </c>
      <c r="G59" s="4">
        <v>30639.328</v>
      </c>
      <c r="H59" s="4">
        <v>3101.527</v>
      </c>
      <c r="I59" s="4">
        <v>15353.083</v>
      </c>
      <c r="J59" s="4">
        <v>763</v>
      </c>
      <c r="K59" s="4">
        <v>5005</v>
      </c>
      <c r="L59" s="4">
        <v>0</v>
      </c>
      <c r="M59" s="4">
        <v>0</v>
      </c>
      <c r="N59" s="4">
        <v>0</v>
      </c>
      <c r="O59" s="4">
        <v>54861.938</v>
      </c>
      <c r="P59" s="4">
        <v>5005</v>
      </c>
      <c r="Q59" s="4"/>
      <c r="R59" s="4"/>
    </row>
    <row r="60" spans="1:18" s="7" customFormat="1" x14ac:dyDescent="0.25">
      <c r="A60" s="7" t="s">
        <v>293</v>
      </c>
      <c r="G60" s="8">
        <f>SUM(G2:G59)</f>
      </c>
      <c r="H60" s="8">
        <f>SUM(H2:H59)</f>
      </c>
      <c r="I60" s="8">
        <f>SUM(I2:I59)</f>
      </c>
      <c r="J60" s="8">
        <f>SUM(J2:J59)</f>
      </c>
      <c r="K60" s="8">
        <f>SUM(K2:K59)</f>
      </c>
      <c r="L60" s="8">
        <f>SUM(L2:L59)</f>
      </c>
      <c r="M60" s="8">
        <f>SUM(M2:M59)</f>
      </c>
      <c r="N60" s="8">
        <f>SUM(N2:N59)</f>
      </c>
      <c r="O60" s="8">
        <f>SUM(O2:O59)</f>
      </c>
      <c r="P60" s="8">
        <f>SUM(P2:P59)</f>
      </c>
      <c r="Q60" s="8">
        <f>SUM(Q2:Q59)</f>
      </c>
      <c r="R60" s="8">
        <f>SUM(R2:R59)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8" customWidth="1"/>
    <col min="3" max="3" width="36" customWidth="1"/>
    <col min="4" max="4" width="22" customWidth="1"/>
    <col min="5" max="5" width="13" style="4" customWidth="1"/>
    <col min="6" max="6" width="8" customWidth="1"/>
    <col min="7" max="7" width="11" style="9" customWidth="1"/>
    <col min="8" max="8" width="14" style="4" customWidth="1"/>
    <col min="9" max="9" width="10" customWidth="1"/>
    <col min="10" max="10" width="12" style="10" customWidth="1"/>
    <col min="11" max="11" width="16" customWidth="1"/>
    <col min="12" max="12" width="8" customWidth="1"/>
  </cols>
  <sheetData>
    <row r="1" ht="32" customHeight="1" spans="1:12" s="3" customFormat="1" x14ac:dyDescent="0.25">
      <c r="A1" s="3" t="s">
        <v>22</v>
      </c>
      <c r="B1" s="3" t="s">
        <v>5</v>
      </c>
      <c r="C1" s="3" t="s">
        <v>294</v>
      </c>
      <c r="D1" s="3" t="s">
        <v>295</v>
      </c>
      <c r="E1" s="5" t="s">
        <v>296</v>
      </c>
      <c r="F1" s="3" t="s">
        <v>297</v>
      </c>
      <c r="G1" s="11" t="s">
        <v>298</v>
      </c>
      <c r="H1" s="5" t="s">
        <v>299</v>
      </c>
      <c r="I1" s="3" t="s">
        <v>25</v>
      </c>
      <c r="J1" s="12" t="s">
        <v>300</v>
      </c>
      <c r="K1" s="3" t="s">
        <v>301</v>
      </c>
      <c r="L1" s="3" t="s">
        <v>302</v>
      </c>
    </row>
    <row r="2" spans="1:12" x14ac:dyDescent="0.25">
      <c r="A2" t="s">
        <v>40</v>
      </c>
      <c r="B2" t="s">
        <v>303</v>
      </c>
      <c r="C2" t="s">
        <v>304</v>
      </c>
      <c r="E2" s="4">
        <v>6800</v>
      </c>
      <c r="F2" t="s">
        <v>305</v>
      </c>
      <c r="G2" s="9">
        <v>5.5702</v>
      </c>
      <c r="H2" s="4">
        <v>37877.36</v>
      </c>
      <c r="I2" t="s">
        <v>306</v>
      </c>
      <c r="J2" s="10">
        <v>46302</v>
      </c>
      <c r="K2" t="s">
        <v>307</v>
      </c>
      <c r="L2" t="s">
        <v>308</v>
      </c>
    </row>
    <row r="3" spans="1:12" x14ac:dyDescent="0.25">
      <c r="A3" t="s">
        <v>40</v>
      </c>
      <c r="B3" t="s">
        <v>309</v>
      </c>
      <c r="C3" t="s">
        <v>310</v>
      </c>
      <c r="E3" s="4">
        <v>794</v>
      </c>
      <c r="F3" t="s">
        <v>305</v>
      </c>
      <c r="G3" s="9">
        <v>5.5702</v>
      </c>
      <c r="H3" s="4">
        <v>4422.739</v>
      </c>
      <c r="I3" t="s">
        <v>306</v>
      </c>
      <c r="J3" s="10">
        <v>46302</v>
      </c>
      <c r="K3" t="s">
        <v>307</v>
      </c>
      <c r="L3" t="s">
        <v>308</v>
      </c>
    </row>
    <row r="4" spans="1:12" x14ac:dyDescent="0.25">
      <c r="A4" t="s">
        <v>40</v>
      </c>
      <c r="B4" t="s">
        <v>311</v>
      </c>
      <c r="C4" t="s">
        <v>312</v>
      </c>
      <c r="E4" s="4">
        <v>135</v>
      </c>
      <c r="F4" t="s">
        <v>305</v>
      </c>
      <c r="G4" s="9">
        <v>5.5702</v>
      </c>
      <c r="H4" s="4">
        <v>751.977</v>
      </c>
      <c r="I4" t="s">
        <v>306</v>
      </c>
      <c r="J4" s="10">
        <v>46302</v>
      </c>
      <c r="L4" t="s">
        <v>308</v>
      </c>
    </row>
    <row r="5" spans="1:12" x14ac:dyDescent="0.25">
      <c r="A5" t="s">
        <v>40</v>
      </c>
      <c r="B5" t="s">
        <v>313</v>
      </c>
      <c r="C5" t="s">
        <v>314</v>
      </c>
      <c r="E5" s="4">
        <v>200</v>
      </c>
      <c r="F5" t="s">
        <v>305</v>
      </c>
      <c r="G5" s="9">
        <v>5.5702</v>
      </c>
      <c r="H5" s="4">
        <v>1114.04</v>
      </c>
      <c r="I5" t="s">
        <v>306</v>
      </c>
      <c r="J5" s="10">
        <v>46302</v>
      </c>
      <c r="L5" t="s">
        <v>315</v>
      </c>
    </row>
    <row r="6" spans="1:12" x14ac:dyDescent="0.25">
      <c r="A6" t="s">
        <v>46</v>
      </c>
      <c r="B6" t="s">
        <v>303</v>
      </c>
      <c r="C6" t="s">
        <v>316</v>
      </c>
      <c r="E6" s="4">
        <v>6225</v>
      </c>
      <c r="F6" t="s">
        <v>305</v>
      </c>
      <c r="G6" s="9">
        <v>5.5567</v>
      </c>
      <c r="H6" s="4">
        <v>34590.458</v>
      </c>
      <c r="I6" t="s">
        <v>306</v>
      </c>
      <c r="J6" s="10">
        <v>46305</v>
      </c>
      <c r="K6" t="s">
        <v>317</v>
      </c>
      <c r="L6" t="s">
        <v>308</v>
      </c>
    </row>
    <row r="7" spans="1:12" x14ac:dyDescent="0.25">
      <c r="A7" t="s">
        <v>46</v>
      </c>
      <c r="B7" t="s">
        <v>309</v>
      </c>
      <c r="C7" t="s">
        <v>310</v>
      </c>
      <c r="E7" s="4">
        <v>748</v>
      </c>
      <c r="F7" t="s">
        <v>305</v>
      </c>
      <c r="G7" s="9">
        <v>5.5567</v>
      </c>
      <c r="H7" s="4">
        <v>4156.412</v>
      </c>
      <c r="I7" t="s">
        <v>306</v>
      </c>
      <c r="J7" s="10">
        <v>46305</v>
      </c>
      <c r="K7" t="s">
        <v>317</v>
      </c>
      <c r="L7" t="s">
        <v>308</v>
      </c>
    </row>
    <row r="8" spans="1:12" x14ac:dyDescent="0.25">
      <c r="A8" t="s">
        <v>46</v>
      </c>
      <c r="B8" t="s">
        <v>311</v>
      </c>
      <c r="C8" t="s">
        <v>312</v>
      </c>
      <c r="E8" s="4">
        <v>159</v>
      </c>
      <c r="F8" t="s">
        <v>305</v>
      </c>
      <c r="G8" s="9">
        <v>5.5567</v>
      </c>
      <c r="H8" s="4">
        <v>883.515</v>
      </c>
      <c r="I8" t="s">
        <v>306</v>
      </c>
      <c r="J8" s="10">
        <v>46305</v>
      </c>
      <c r="L8" t="s">
        <v>308</v>
      </c>
    </row>
    <row r="9" spans="1:12" x14ac:dyDescent="0.25">
      <c r="A9" t="s">
        <v>46</v>
      </c>
      <c r="B9" t="s">
        <v>313</v>
      </c>
      <c r="C9" t="s">
        <v>314</v>
      </c>
      <c r="E9" s="4">
        <v>200</v>
      </c>
      <c r="F9" t="s">
        <v>305</v>
      </c>
      <c r="G9" s="9">
        <v>5.5567</v>
      </c>
      <c r="H9" s="4">
        <v>1111.34</v>
      </c>
      <c r="I9" t="s">
        <v>306</v>
      </c>
      <c r="J9" s="10">
        <v>46305</v>
      </c>
      <c r="L9" t="s">
        <v>315</v>
      </c>
    </row>
    <row r="10" spans="1:12" x14ac:dyDescent="0.25">
      <c r="A10" t="s">
        <v>50</v>
      </c>
      <c r="B10" t="s">
        <v>303</v>
      </c>
      <c r="C10" t="s">
        <v>318</v>
      </c>
      <c r="E10" s="4">
        <v>5100</v>
      </c>
      <c r="F10" t="s">
        <v>305</v>
      </c>
      <c r="G10" s="9">
        <v>5.5642</v>
      </c>
      <c r="H10" s="4">
        <v>28377.42</v>
      </c>
      <c r="I10" t="s">
        <v>306</v>
      </c>
      <c r="J10" s="10">
        <v>46304</v>
      </c>
      <c r="K10" t="s">
        <v>319</v>
      </c>
      <c r="L10" t="s">
        <v>308</v>
      </c>
    </row>
    <row r="11" spans="1:12" x14ac:dyDescent="0.25">
      <c r="A11" t="s">
        <v>50</v>
      </c>
      <c r="B11" t="s">
        <v>309</v>
      </c>
      <c r="C11" t="s">
        <v>310</v>
      </c>
      <c r="E11" s="4">
        <v>658</v>
      </c>
      <c r="F11" t="s">
        <v>305</v>
      </c>
      <c r="G11" s="9">
        <v>5.5642</v>
      </c>
      <c r="H11" s="4">
        <v>3661.244</v>
      </c>
      <c r="I11" t="s">
        <v>306</v>
      </c>
      <c r="J11" s="10">
        <v>46304</v>
      </c>
      <c r="K11" t="s">
        <v>319</v>
      </c>
      <c r="L11" t="s">
        <v>308</v>
      </c>
    </row>
    <row r="12" spans="1:12" x14ac:dyDescent="0.25">
      <c r="A12" t="s">
        <v>50</v>
      </c>
      <c r="B12" t="s">
        <v>311</v>
      </c>
      <c r="C12" t="s">
        <v>312</v>
      </c>
      <c r="E12" s="4">
        <v>135</v>
      </c>
      <c r="F12" t="s">
        <v>305</v>
      </c>
      <c r="G12" s="9">
        <v>5.5642</v>
      </c>
      <c r="H12" s="4">
        <v>751.167</v>
      </c>
      <c r="I12" t="s">
        <v>306</v>
      </c>
      <c r="J12" s="10">
        <v>46304</v>
      </c>
      <c r="L12" t="s">
        <v>308</v>
      </c>
    </row>
    <row r="13" spans="1:12" x14ac:dyDescent="0.25">
      <c r="A13" t="s">
        <v>50</v>
      </c>
      <c r="B13" t="s">
        <v>313</v>
      </c>
      <c r="C13" t="s">
        <v>314</v>
      </c>
      <c r="E13" s="4">
        <v>200</v>
      </c>
      <c r="F13" t="s">
        <v>305</v>
      </c>
      <c r="G13" s="9">
        <v>5.5642</v>
      </c>
      <c r="H13" s="4">
        <v>1112.84</v>
      </c>
      <c r="I13" t="s">
        <v>306</v>
      </c>
      <c r="J13" s="10">
        <v>46304</v>
      </c>
      <c r="L13" t="s">
        <v>315</v>
      </c>
    </row>
    <row r="14" spans="1:12" x14ac:dyDescent="0.25">
      <c r="A14" t="s">
        <v>54</v>
      </c>
      <c r="B14" t="s">
        <v>303</v>
      </c>
      <c r="C14" t="s">
        <v>320</v>
      </c>
      <c r="E14" s="4">
        <v>11350</v>
      </c>
      <c r="F14" t="s">
        <v>305</v>
      </c>
      <c r="G14" s="9">
        <v>5.5714</v>
      </c>
      <c r="H14" s="4">
        <v>63235.39</v>
      </c>
      <c r="I14" t="s">
        <v>306</v>
      </c>
      <c r="J14" s="10">
        <v>46298</v>
      </c>
      <c r="K14" t="s">
        <v>321</v>
      </c>
      <c r="L14" t="s">
        <v>308</v>
      </c>
    </row>
    <row r="15" spans="1:12" x14ac:dyDescent="0.25">
      <c r="A15" t="s">
        <v>54</v>
      </c>
      <c r="B15" t="s">
        <v>309</v>
      </c>
      <c r="C15" t="s">
        <v>310</v>
      </c>
      <c r="E15" s="4">
        <v>1158</v>
      </c>
      <c r="F15" t="s">
        <v>305</v>
      </c>
      <c r="G15" s="9">
        <v>5.5714</v>
      </c>
      <c r="H15" s="4">
        <v>6451.681</v>
      </c>
      <c r="I15" t="s">
        <v>306</v>
      </c>
      <c r="J15" s="10">
        <v>46298</v>
      </c>
      <c r="K15" t="s">
        <v>321</v>
      </c>
      <c r="L15" t="s">
        <v>308</v>
      </c>
    </row>
    <row r="16" spans="1:12" x14ac:dyDescent="0.25">
      <c r="A16" t="s">
        <v>54</v>
      </c>
      <c r="B16" t="s">
        <v>311</v>
      </c>
      <c r="C16" t="s">
        <v>312</v>
      </c>
      <c r="E16" s="4">
        <v>159</v>
      </c>
      <c r="F16" t="s">
        <v>305</v>
      </c>
      <c r="G16" s="9">
        <v>5.5714</v>
      </c>
      <c r="H16" s="4">
        <v>885.853</v>
      </c>
      <c r="I16" t="s">
        <v>306</v>
      </c>
      <c r="J16" s="10">
        <v>46298</v>
      </c>
      <c r="L16" t="s">
        <v>308</v>
      </c>
    </row>
    <row r="17" spans="1:12" x14ac:dyDescent="0.25">
      <c r="A17" t="s">
        <v>54</v>
      </c>
      <c r="B17" t="s">
        <v>313</v>
      </c>
      <c r="C17" t="s">
        <v>314</v>
      </c>
      <c r="E17" s="4">
        <v>200</v>
      </c>
      <c r="F17" t="s">
        <v>305</v>
      </c>
      <c r="G17" s="9">
        <v>5.5714</v>
      </c>
      <c r="H17" s="4">
        <v>1114.28</v>
      </c>
      <c r="I17" t="s">
        <v>306</v>
      </c>
      <c r="J17" s="10">
        <v>46298</v>
      </c>
      <c r="L17" t="s">
        <v>315</v>
      </c>
    </row>
    <row r="18" spans="1:12" x14ac:dyDescent="0.25">
      <c r="A18" t="s">
        <v>59</v>
      </c>
      <c r="B18" t="s">
        <v>303</v>
      </c>
      <c r="C18" t="s">
        <v>322</v>
      </c>
      <c r="E18" s="4">
        <v>7675</v>
      </c>
      <c r="F18" t="s">
        <v>305</v>
      </c>
      <c r="G18" s="9">
        <v>5.5787</v>
      </c>
      <c r="H18" s="4">
        <v>42816.523</v>
      </c>
      <c r="I18" t="s">
        <v>306</v>
      </c>
      <c r="J18" s="10">
        <v>46297</v>
      </c>
      <c r="K18" t="s">
        <v>323</v>
      </c>
      <c r="L18" t="s">
        <v>308</v>
      </c>
    </row>
    <row r="19" spans="1:12" x14ac:dyDescent="0.25">
      <c r="A19" t="s">
        <v>59</v>
      </c>
      <c r="B19" t="s">
        <v>309</v>
      </c>
      <c r="C19" t="s">
        <v>310</v>
      </c>
      <c r="E19" s="4">
        <v>864</v>
      </c>
      <c r="F19" t="s">
        <v>305</v>
      </c>
      <c r="G19" s="9">
        <v>5.5787</v>
      </c>
      <c r="H19" s="4">
        <v>4819.997</v>
      </c>
      <c r="I19" t="s">
        <v>306</v>
      </c>
      <c r="J19" s="10">
        <v>46297</v>
      </c>
      <c r="K19" t="s">
        <v>323</v>
      </c>
      <c r="L19" t="s">
        <v>308</v>
      </c>
    </row>
    <row r="20" spans="1:12" x14ac:dyDescent="0.25">
      <c r="A20" t="s">
        <v>59</v>
      </c>
      <c r="B20" t="s">
        <v>311</v>
      </c>
      <c r="C20" t="s">
        <v>312</v>
      </c>
      <c r="E20" s="4">
        <v>159</v>
      </c>
      <c r="F20" t="s">
        <v>305</v>
      </c>
      <c r="G20" s="9">
        <v>5.5787</v>
      </c>
      <c r="H20" s="4">
        <v>887.013</v>
      </c>
      <c r="I20" t="s">
        <v>306</v>
      </c>
      <c r="J20" s="10">
        <v>46297</v>
      </c>
      <c r="L20" t="s">
        <v>308</v>
      </c>
    </row>
    <row r="21" spans="1:12" x14ac:dyDescent="0.25">
      <c r="A21" t="s">
        <v>59</v>
      </c>
      <c r="B21" t="s">
        <v>313</v>
      </c>
      <c r="C21" t="s">
        <v>314</v>
      </c>
      <c r="E21" s="4">
        <v>200</v>
      </c>
      <c r="F21" t="s">
        <v>305</v>
      </c>
      <c r="G21" s="9">
        <v>5.5787</v>
      </c>
      <c r="H21" s="4">
        <v>1115.74</v>
      </c>
      <c r="I21" t="s">
        <v>306</v>
      </c>
      <c r="J21" s="10">
        <v>46297</v>
      </c>
      <c r="L21" t="s">
        <v>315</v>
      </c>
    </row>
    <row r="22" spans="1:12" x14ac:dyDescent="0.25">
      <c r="A22" t="s">
        <v>63</v>
      </c>
      <c r="B22" t="s">
        <v>303</v>
      </c>
      <c r="C22" t="s">
        <v>324</v>
      </c>
      <c r="E22" s="4">
        <v>21900</v>
      </c>
      <c r="F22" t="s">
        <v>305</v>
      </c>
      <c r="G22" s="9">
        <v>5.5787</v>
      </c>
      <c r="H22" s="4">
        <v>122173.53</v>
      </c>
      <c r="I22" t="s">
        <v>306</v>
      </c>
      <c r="J22" s="10">
        <v>46297</v>
      </c>
      <c r="K22" t="s">
        <v>325</v>
      </c>
      <c r="L22" t="s">
        <v>308</v>
      </c>
    </row>
    <row r="23" spans="1:12" x14ac:dyDescent="0.25">
      <c r="A23" t="s">
        <v>63</v>
      </c>
      <c r="B23" t="s">
        <v>309</v>
      </c>
      <c r="C23" t="s">
        <v>310</v>
      </c>
      <c r="E23" s="4">
        <v>2002</v>
      </c>
      <c r="F23" t="s">
        <v>305</v>
      </c>
      <c r="G23" s="9">
        <v>5.5787</v>
      </c>
      <c r="H23" s="4">
        <v>11168.557</v>
      </c>
      <c r="I23" t="s">
        <v>306</v>
      </c>
      <c r="J23" s="10">
        <v>46297</v>
      </c>
      <c r="K23" t="s">
        <v>325</v>
      </c>
      <c r="L23" t="s">
        <v>308</v>
      </c>
    </row>
    <row r="24" spans="1:12" x14ac:dyDescent="0.25">
      <c r="A24" t="s">
        <v>63</v>
      </c>
      <c r="B24" t="s">
        <v>311</v>
      </c>
      <c r="C24" t="s">
        <v>312</v>
      </c>
      <c r="E24" s="4">
        <v>159</v>
      </c>
      <c r="F24" t="s">
        <v>305</v>
      </c>
      <c r="G24" s="9">
        <v>5.5787</v>
      </c>
      <c r="H24" s="4">
        <v>887.013</v>
      </c>
      <c r="I24" t="s">
        <v>306</v>
      </c>
      <c r="J24" s="10">
        <v>46297</v>
      </c>
      <c r="L24" t="s">
        <v>308</v>
      </c>
    </row>
    <row r="25" spans="1:12" x14ac:dyDescent="0.25">
      <c r="A25" t="s">
        <v>63</v>
      </c>
      <c r="B25" t="s">
        <v>313</v>
      </c>
      <c r="C25" t="s">
        <v>314</v>
      </c>
      <c r="E25" s="4">
        <v>200</v>
      </c>
      <c r="F25" t="s">
        <v>305</v>
      </c>
      <c r="G25" s="9">
        <v>5.5787</v>
      </c>
      <c r="H25" s="4">
        <v>1115.74</v>
      </c>
      <c r="I25" t="s">
        <v>306</v>
      </c>
      <c r="J25" s="10">
        <v>46297</v>
      </c>
      <c r="L25" t="s">
        <v>315</v>
      </c>
    </row>
    <row r="26" spans="1:12" x14ac:dyDescent="0.25">
      <c r="A26" t="s">
        <v>67</v>
      </c>
      <c r="B26" t="s">
        <v>303</v>
      </c>
      <c r="C26" t="s">
        <v>326</v>
      </c>
      <c r="E26" s="4">
        <v>25575</v>
      </c>
      <c r="F26" t="s">
        <v>305</v>
      </c>
      <c r="G26" s="9">
        <v>5.5821</v>
      </c>
      <c r="H26" s="4">
        <v>142762.208</v>
      </c>
      <c r="I26" t="s">
        <v>306</v>
      </c>
      <c r="J26" s="10">
        <v>46292</v>
      </c>
      <c r="K26" t="s">
        <v>327</v>
      </c>
      <c r="L26" t="s">
        <v>308</v>
      </c>
    </row>
    <row r="27" spans="1:12" x14ac:dyDescent="0.25">
      <c r="A27" t="s">
        <v>67</v>
      </c>
      <c r="B27" t="s">
        <v>309</v>
      </c>
      <c r="C27" t="s">
        <v>310</v>
      </c>
      <c r="E27" s="4">
        <v>2296</v>
      </c>
      <c r="F27" t="s">
        <v>305</v>
      </c>
      <c r="G27" s="9">
        <v>5.5821</v>
      </c>
      <c r="H27" s="4">
        <v>12816.502</v>
      </c>
      <c r="I27" t="s">
        <v>306</v>
      </c>
      <c r="J27" s="10">
        <v>46292</v>
      </c>
      <c r="K27" t="s">
        <v>327</v>
      </c>
      <c r="L27" t="s">
        <v>308</v>
      </c>
    </row>
    <row r="28" spans="1:12" x14ac:dyDescent="0.25">
      <c r="A28" t="s">
        <v>67</v>
      </c>
      <c r="B28" t="s">
        <v>311</v>
      </c>
      <c r="C28" t="s">
        <v>312</v>
      </c>
      <c r="E28" s="4">
        <v>135</v>
      </c>
      <c r="F28" t="s">
        <v>305</v>
      </c>
      <c r="G28" s="9">
        <v>5.5821</v>
      </c>
      <c r="H28" s="4">
        <v>753.584</v>
      </c>
      <c r="I28" t="s">
        <v>306</v>
      </c>
      <c r="J28" s="10">
        <v>46292</v>
      </c>
      <c r="L28" t="s">
        <v>308</v>
      </c>
    </row>
    <row r="29" spans="1:12" x14ac:dyDescent="0.25">
      <c r="A29" t="s">
        <v>67</v>
      </c>
      <c r="B29" t="s">
        <v>313</v>
      </c>
      <c r="C29" t="s">
        <v>314</v>
      </c>
      <c r="E29" s="4">
        <v>200</v>
      </c>
      <c r="F29" t="s">
        <v>305</v>
      </c>
      <c r="G29" s="9">
        <v>5.5821</v>
      </c>
      <c r="H29" s="4">
        <v>1116.42</v>
      </c>
      <c r="I29" t="s">
        <v>306</v>
      </c>
      <c r="J29" s="10">
        <v>46292</v>
      </c>
      <c r="L29" t="s">
        <v>308</v>
      </c>
    </row>
    <row r="30" spans="1:12" x14ac:dyDescent="0.25">
      <c r="A30" t="s">
        <v>67</v>
      </c>
      <c r="B30" t="s">
        <v>328</v>
      </c>
      <c r="C30" t="s">
        <v>329</v>
      </c>
      <c r="D30" t="s">
        <v>330</v>
      </c>
      <c r="E30" s="4">
        <v>300</v>
      </c>
      <c r="F30" t="s">
        <v>305</v>
      </c>
      <c r="G30" s="9">
        <v>5.591</v>
      </c>
      <c r="H30" s="4">
        <v>1677.3</v>
      </c>
      <c r="I30" t="s">
        <v>306</v>
      </c>
      <c r="J30" s="10">
        <v>46294</v>
      </c>
      <c r="L30" t="s">
        <v>308</v>
      </c>
    </row>
    <row r="31" spans="1:12" x14ac:dyDescent="0.25">
      <c r="A31" t="s">
        <v>72</v>
      </c>
      <c r="B31" t="s">
        <v>303</v>
      </c>
      <c r="C31" t="s">
        <v>331</v>
      </c>
      <c r="E31" s="4">
        <v>6400</v>
      </c>
      <c r="F31" t="s">
        <v>305</v>
      </c>
      <c r="G31" s="9">
        <v>5.5827</v>
      </c>
      <c r="H31" s="4">
        <v>35729.28</v>
      </c>
      <c r="I31" t="s">
        <v>306</v>
      </c>
      <c r="J31" s="10">
        <v>46295</v>
      </c>
      <c r="K31" t="s">
        <v>332</v>
      </c>
      <c r="L31" t="s">
        <v>308</v>
      </c>
    </row>
    <row r="32" spans="1:12" x14ac:dyDescent="0.25">
      <c r="A32" t="s">
        <v>72</v>
      </c>
      <c r="B32" t="s">
        <v>309</v>
      </c>
      <c r="C32" t="s">
        <v>310</v>
      </c>
      <c r="E32" s="4">
        <v>762</v>
      </c>
      <c r="F32" t="s">
        <v>305</v>
      </c>
      <c r="G32" s="9">
        <v>5.5827</v>
      </c>
      <c r="H32" s="4">
        <v>4254.017</v>
      </c>
      <c r="I32" t="s">
        <v>306</v>
      </c>
      <c r="J32" s="10">
        <v>46295</v>
      </c>
      <c r="K32" t="s">
        <v>332</v>
      </c>
      <c r="L32" t="s">
        <v>308</v>
      </c>
    </row>
    <row r="33" spans="1:12" x14ac:dyDescent="0.25">
      <c r="A33" t="s">
        <v>72</v>
      </c>
      <c r="B33" t="s">
        <v>311</v>
      </c>
      <c r="C33" t="s">
        <v>312</v>
      </c>
      <c r="E33" s="4">
        <v>159</v>
      </c>
      <c r="F33" t="s">
        <v>305</v>
      </c>
      <c r="G33" s="9">
        <v>5.5827</v>
      </c>
      <c r="H33" s="4">
        <v>887.649</v>
      </c>
      <c r="I33" t="s">
        <v>306</v>
      </c>
      <c r="J33" s="10">
        <v>46295</v>
      </c>
      <c r="L33" t="s">
        <v>308</v>
      </c>
    </row>
    <row r="34" spans="1:12" x14ac:dyDescent="0.25">
      <c r="A34" t="s">
        <v>72</v>
      </c>
      <c r="B34" t="s">
        <v>313</v>
      </c>
      <c r="C34" t="s">
        <v>314</v>
      </c>
      <c r="E34" s="4">
        <v>200</v>
      </c>
      <c r="F34" t="s">
        <v>305</v>
      </c>
      <c r="G34" s="9">
        <v>5.5827</v>
      </c>
      <c r="H34" s="4">
        <v>1116.54</v>
      </c>
      <c r="I34" t="s">
        <v>306</v>
      </c>
      <c r="J34" s="10">
        <v>46295</v>
      </c>
      <c r="L34" t="s">
        <v>308</v>
      </c>
    </row>
    <row r="35" spans="1:12" x14ac:dyDescent="0.25">
      <c r="A35" t="s">
        <v>72</v>
      </c>
      <c r="B35" t="s">
        <v>328</v>
      </c>
      <c r="C35" t="s">
        <v>329</v>
      </c>
      <c r="D35" t="s">
        <v>330</v>
      </c>
      <c r="E35" s="4">
        <v>504</v>
      </c>
      <c r="F35" t="s">
        <v>305</v>
      </c>
      <c r="G35" s="9">
        <v>5.5787</v>
      </c>
      <c r="H35" s="4">
        <v>2811.665</v>
      </c>
      <c r="I35" t="s">
        <v>306</v>
      </c>
      <c r="J35" s="10">
        <v>46297</v>
      </c>
      <c r="L35" t="s">
        <v>308</v>
      </c>
    </row>
    <row r="36" spans="1:12" x14ac:dyDescent="0.25">
      <c r="A36" t="s">
        <v>76</v>
      </c>
      <c r="B36" t="s">
        <v>303</v>
      </c>
      <c r="C36" t="s">
        <v>333</v>
      </c>
      <c r="E36" s="4">
        <v>9725</v>
      </c>
      <c r="F36" t="s">
        <v>305</v>
      </c>
      <c r="G36" s="9">
        <v>5.5659</v>
      </c>
      <c r="H36" s="4">
        <v>54128.378</v>
      </c>
      <c r="I36" t="s">
        <v>306</v>
      </c>
      <c r="J36" s="10">
        <v>46285</v>
      </c>
      <c r="K36" t="s">
        <v>334</v>
      </c>
      <c r="L36" t="s">
        <v>308</v>
      </c>
    </row>
    <row r="37" spans="1:12" x14ac:dyDescent="0.25">
      <c r="A37" t="s">
        <v>76</v>
      </c>
      <c r="B37" t="s">
        <v>309</v>
      </c>
      <c r="C37" t="s">
        <v>310</v>
      </c>
      <c r="E37" s="4">
        <v>1028</v>
      </c>
      <c r="F37" t="s">
        <v>305</v>
      </c>
      <c r="G37" s="9">
        <v>5.5659</v>
      </c>
      <c r="H37" s="4">
        <v>5721.745</v>
      </c>
      <c r="I37" t="s">
        <v>306</v>
      </c>
      <c r="J37" s="10">
        <v>46285</v>
      </c>
      <c r="K37" t="s">
        <v>334</v>
      </c>
      <c r="L37" t="s">
        <v>308</v>
      </c>
    </row>
    <row r="38" spans="1:12" x14ac:dyDescent="0.25">
      <c r="A38" t="s">
        <v>76</v>
      </c>
      <c r="B38" t="s">
        <v>311</v>
      </c>
      <c r="C38" t="s">
        <v>312</v>
      </c>
      <c r="E38" s="4">
        <v>159</v>
      </c>
      <c r="F38" t="s">
        <v>305</v>
      </c>
      <c r="G38" s="9">
        <v>5.5659</v>
      </c>
      <c r="H38" s="4">
        <v>884.978</v>
      </c>
      <c r="I38" t="s">
        <v>306</v>
      </c>
      <c r="J38" s="10">
        <v>46285</v>
      </c>
      <c r="L38" t="s">
        <v>308</v>
      </c>
    </row>
    <row r="39" spans="1:12" x14ac:dyDescent="0.25">
      <c r="A39" t="s">
        <v>76</v>
      </c>
      <c r="B39" t="s">
        <v>313</v>
      </c>
      <c r="C39" t="s">
        <v>314</v>
      </c>
      <c r="E39" s="4">
        <v>200</v>
      </c>
      <c r="F39" t="s">
        <v>305</v>
      </c>
      <c r="G39" s="9">
        <v>5.5659</v>
      </c>
      <c r="H39" s="4">
        <v>1113.18</v>
      </c>
      <c r="I39" t="s">
        <v>306</v>
      </c>
      <c r="J39" s="10">
        <v>46285</v>
      </c>
      <c r="L39" t="s">
        <v>308</v>
      </c>
    </row>
    <row r="40" spans="1:12" x14ac:dyDescent="0.25">
      <c r="A40" t="s">
        <v>76</v>
      </c>
      <c r="B40" t="s">
        <v>328</v>
      </c>
      <c r="C40" t="s">
        <v>335</v>
      </c>
      <c r="D40" t="s">
        <v>330</v>
      </c>
      <c r="E40" s="4">
        <v>720</v>
      </c>
      <c r="F40" t="s">
        <v>305</v>
      </c>
      <c r="G40" s="9">
        <v>5.5813</v>
      </c>
      <c r="H40" s="4">
        <v>4018.536</v>
      </c>
      <c r="I40" t="s">
        <v>306</v>
      </c>
      <c r="J40" s="10">
        <v>46287</v>
      </c>
      <c r="L40" t="s">
        <v>308</v>
      </c>
    </row>
    <row r="41" spans="1:12" x14ac:dyDescent="0.25">
      <c r="A41" t="s">
        <v>76</v>
      </c>
      <c r="B41" t="s">
        <v>336</v>
      </c>
      <c r="C41" t="s">
        <v>337</v>
      </c>
      <c r="E41" s="4">
        <v>113</v>
      </c>
      <c r="F41" t="s">
        <v>305</v>
      </c>
      <c r="G41" s="9">
        <v>5.578</v>
      </c>
      <c r="H41" s="4">
        <v>630.314</v>
      </c>
      <c r="I41" t="s">
        <v>306</v>
      </c>
      <c r="J41" s="10">
        <v>46289</v>
      </c>
      <c r="L41" t="s">
        <v>308</v>
      </c>
    </row>
    <row r="42" spans="1:12" x14ac:dyDescent="0.25">
      <c r="A42" t="s">
        <v>76</v>
      </c>
      <c r="B42" t="s">
        <v>338</v>
      </c>
      <c r="C42" t="s">
        <v>339</v>
      </c>
      <c r="D42" t="s">
        <v>340</v>
      </c>
      <c r="E42" s="4">
        <v>75</v>
      </c>
      <c r="F42" t="s">
        <v>305</v>
      </c>
      <c r="G42" s="9">
        <v>5.5786</v>
      </c>
      <c r="H42" s="4">
        <v>418.395</v>
      </c>
      <c r="I42" t="s">
        <v>306</v>
      </c>
      <c r="J42" s="10">
        <v>46291</v>
      </c>
      <c r="L42" t="s">
        <v>308</v>
      </c>
    </row>
    <row r="43" spans="1:12" x14ac:dyDescent="0.25">
      <c r="A43" t="s">
        <v>81</v>
      </c>
      <c r="B43" t="s">
        <v>303</v>
      </c>
      <c r="C43" t="s">
        <v>341</v>
      </c>
      <c r="E43" s="4">
        <v>17025</v>
      </c>
      <c r="F43" t="s">
        <v>305</v>
      </c>
      <c r="G43" s="9">
        <v>5.5718</v>
      </c>
      <c r="H43" s="4">
        <v>94859.895</v>
      </c>
      <c r="I43" t="s">
        <v>306</v>
      </c>
      <c r="J43" s="10">
        <v>46286</v>
      </c>
      <c r="K43" t="s">
        <v>342</v>
      </c>
      <c r="L43" t="s">
        <v>308</v>
      </c>
    </row>
    <row r="44" spans="1:12" x14ac:dyDescent="0.25">
      <c r="A44" t="s">
        <v>81</v>
      </c>
      <c r="B44" t="s">
        <v>309</v>
      </c>
      <c r="C44" t="s">
        <v>310</v>
      </c>
      <c r="E44" s="4">
        <v>1612</v>
      </c>
      <c r="F44" t="s">
        <v>305</v>
      </c>
      <c r="G44" s="9">
        <v>5.5718</v>
      </c>
      <c r="H44" s="4">
        <v>8981.742</v>
      </c>
      <c r="I44" t="s">
        <v>306</v>
      </c>
      <c r="J44" s="10">
        <v>46286</v>
      </c>
      <c r="K44" t="s">
        <v>342</v>
      </c>
      <c r="L44" t="s">
        <v>308</v>
      </c>
    </row>
    <row r="45" spans="1:12" x14ac:dyDescent="0.25">
      <c r="A45" t="s">
        <v>81</v>
      </c>
      <c r="B45" t="s">
        <v>311</v>
      </c>
      <c r="C45" t="s">
        <v>312</v>
      </c>
      <c r="E45" s="4">
        <v>159</v>
      </c>
      <c r="F45" t="s">
        <v>305</v>
      </c>
      <c r="G45" s="9">
        <v>5.5718</v>
      </c>
      <c r="H45" s="4">
        <v>885.916</v>
      </c>
      <c r="I45" t="s">
        <v>306</v>
      </c>
      <c r="J45" s="10">
        <v>46286</v>
      </c>
      <c r="L45" t="s">
        <v>308</v>
      </c>
    </row>
    <row r="46" spans="1:12" x14ac:dyDescent="0.25">
      <c r="A46" t="s">
        <v>81</v>
      </c>
      <c r="B46" t="s">
        <v>313</v>
      </c>
      <c r="C46" t="s">
        <v>314</v>
      </c>
      <c r="E46" s="4">
        <v>200</v>
      </c>
      <c r="F46" t="s">
        <v>305</v>
      </c>
      <c r="G46" s="9">
        <v>5.5718</v>
      </c>
      <c r="H46" s="4">
        <v>1114.36</v>
      </c>
      <c r="I46" t="s">
        <v>306</v>
      </c>
      <c r="J46" s="10">
        <v>46286</v>
      </c>
      <c r="L46" t="s">
        <v>308</v>
      </c>
    </row>
    <row r="47" spans="1:12" x14ac:dyDescent="0.25">
      <c r="A47" t="s">
        <v>81</v>
      </c>
      <c r="B47" t="s">
        <v>328</v>
      </c>
      <c r="C47" t="s">
        <v>343</v>
      </c>
      <c r="D47" t="s">
        <v>330</v>
      </c>
      <c r="E47" s="4">
        <v>673</v>
      </c>
      <c r="F47" t="s">
        <v>305</v>
      </c>
      <c r="G47" s="9">
        <v>5.5734</v>
      </c>
      <c r="H47" s="4">
        <v>3750.898</v>
      </c>
      <c r="I47" t="s">
        <v>306</v>
      </c>
      <c r="J47" s="10">
        <v>46288</v>
      </c>
      <c r="L47" t="s">
        <v>308</v>
      </c>
    </row>
    <row r="48" spans="1:12" x14ac:dyDescent="0.25">
      <c r="A48" t="s">
        <v>81</v>
      </c>
      <c r="B48" t="s">
        <v>338</v>
      </c>
      <c r="C48" t="s">
        <v>339</v>
      </c>
      <c r="D48" t="s">
        <v>340</v>
      </c>
      <c r="E48" s="4">
        <v>75</v>
      </c>
      <c r="F48" t="s">
        <v>305</v>
      </c>
      <c r="G48" s="9">
        <v>5.5821</v>
      </c>
      <c r="H48" s="4">
        <v>418.658</v>
      </c>
      <c r="I48" t="s">
        <v>306</v>
      </c>
      <c r="J48" s="10">
        <v>46292</v>
      </c>
      <c r="L48" t="s">
        <v>308</v>
      </c>
    </row>
    <row r="49" spans="1:12" x14ac:dyDescent="0.25">
      <c r="A49" t="s">
        <v>85</v>
      </c>
      <c r="B49" t="s">
        <v>303</v>
      </c>
      <c r="C49" t="s">
        <v>344</v>
      </c>
      <c r="E49" s="4">
        <v>23800</v>
      </c>
      <c r="F49" t="s">
        <v>305</v>
      </c>
      <c r="G49" s="9">
        <v>5.5718</v>
      </c>
      <c r="H49" s="4">
        <v>132608.84</v>
      </c>
      <c r="I49" t="s">
        <v>306</v>
      </c>
      <c r="J49" s="10">
        <v>46286</v>
      </c>
      <c r="K49" t="s">
        <v>345</v>
      </c>
      <c r="L49" t="s">
        <v>308</v>
      </c>
    </row>
    <row r="50" spans="1:12" x14ac:dyDescent="0.25">
      <c r="A50" t="s">
        <v>85</v>
      </c>
      <c r="B50" t="s">
        <v>309</v>
      </c>
      <c r="C50" t="s">
        <v>310</v>
      </c>
      <c r="E50" s="4">
        <v>2154</v>
      </c>
      <c r="F50" t="s">
        <v>305</v>
      </c>
      <c r="G50" s="9">
        <v>5.5718</v>
      </c>
      <c r="H50" s="4">
        <v>12001.657</v>
      </c>
      <c r="I50" t="s">
        <v>306</v>
      </c>
      <c r="J50" s="10">
        <v>46286</v>
      </c>
      <c r="K50" t="s">
        <v>345</v>
      </c>
      <c r="L50" t="s">
        <v>308</v>
      </c>
    </row>
    <row r="51" spans="1:12" x14ac:dyDescent="0.25">
      <c r="A51" t="s">
        <v>85</v>
      </c>
      <c r="B51" t="s">
        <v>311</v>
      </c>
      <c r="C51" t="s">
        <v>312</v>
      </c>
      <c r="E51" s="4">
        <v>159</v>
      </c>
      <c r="F51" t="s">
        <v>305</v>
      </c>
      <c r="G51" s="9">
        <v>5.5718</v>
      </c>
      <c r="H51" s="4">
        <v>885.916</v>
      </c>
      <c r="I51" t="s">
        <v>306</v>
      </c>
      <c r="J51" s="10">
        <v>46286</v>
      </c>
      <c r="L51" t="s">
        <v>308</v>
      </c>
    </row>
    <row r="52" spans="1:12" x14ac:dyDescent="0.25">
      <c r="A52" t="s">
        <v>85</v>
      </c>
      <c r="B52" t="s">
        <v>313</v>
      </c>
      <c r="C52" t="s">
        <v>314</v>
      </c>
      <c r="E52" s="4">
        <v>200</v>
      </c>
      <c r="F52" t="s">
        <v>305</v>
      </c>
      <c r="G52" s="9">
        <v>5.5718</v>
      </c>
      <c r="H52" s="4">
        <v>1114.36</v>
      </c>
      <c r="I52" t="s">
        <v>306</v>
      </c>
      <c r="J52" s="10">
        <v>46286</v>
      </c>
      <c r="L52" t="s">
        <v>308</v>
      </c>
    </row>
    <row r="53" spans="1:12" x14ac:dyDescent="0.25">
      <c r="A53" t="s">
        <v>85</v>
      </c>
      <c r="B53" t="s">
        <v>328</v>
      </c>
      <c r="C53" t="s">
        <v>346</v>
      </c>
      <c r="D53" t="s">
        <v>347</v>
      </c>
      <c r="E53" s="4">
        <v>489</v>
      </c>
      <c r="F53" t="s">
        <v>305</v>
      </c>
      <c r="G53" s="9">
        <v>5.5734</v>
      </c>
      <c r="H53" s="4">
        <v>2725.393</v>
      </c>
      <c r="I53" t="s">
        <v>306</v>
      </c>
      <c r="J53" s="10">
        <v>46288</v>
      </c>
      <c r="L53" t="s">
        <v>308</v>
      </c>
    </row>
    <row r="54" spans="1:12" x14ac:dyDescent="0.25">
      <c r="A54" t="s">
        <v>85</v>
      </c>
      <c r="B54" t="s">
        <v>338</v>
      </c>
      <c r="C54" t="s">
        <v>339</v>
      </c>
      <c r="D54" t="s">
        <v>340</v>
      </c>
      <c r="E54" s="4">
        <v>75</v>
      </c>
      <c r="F54" t="s">
        <v>305</v>
      </c>
      <c r="G54" s="9">
        <v>5.5821</v>
      </c>
      <c r="H54" s="4">
        <v>418.658</v>
      </c>
      <c r="I54" t="s">
        <v>306</v>
      </c>
      <c r="J54" s="10">
        <v>46292</v>
      </c>
      <c r="L54" t="s">
        <v>308</v>
      </c>
    </row>
    <row r="55" spans="1:12" x14ac:dyDescent="0.25">
      <c r="A55" t="s">
        <v>89</v>
      </c>
      <c r="B55" t="s">
        <v>303</v>
      </c>
      <c r="C55" t="s">
        <v>348</v>
      </c>
      <c r="E55" s="4">
        <v>18625</v>
      </c>
      <c r="F55" t="s">
        <v>305</v>
      </c>
      <c r="G55" s="9">
        <v>5.5655</v>
      </c>
      <c r="H55" s="4">
        <v>103657.438</v>
      </c>
      <c r="I55" t="s">
        <v>306</v>
      </c>
      <c r="J55" s="10">
        <v>46283</v>
      </c>
      <c r="K55" t="s">
        <v>349</v>
      </c>
      <c r="L55" t="s">
        <v>308</v>
      </c>
    </row>
    <row r="56" spans="1:12" x14ac:dyDescent="0.25">
      <c r="A56" t="s">
        <v>89</v>
      </c>
      <c r="B56" t="s">
        <v>309</v>
      </c>
      <c r="C56" t="s">
        <v>310</v>
      </c>
      <c r="E56" s="4">
        <v>1740</v>
      </c>
      <c r="F56" t="s">
        <v>305</v>
      </c>
      <c r="G56" s="9">
        <v>5.5655</v>
      </c>
      <c r="H56" s="4">
        <v>9683.97</v>
      </c>
      <c r="I56" t="s">
        <v>306</v>
      </c>
      <c r="J56" s="10">
        <v>46283</v>
      </c>
      <c r="K56" t="s">
        <v>349</v>
      </c>
      <c r="L56" t="s">
        <v>308</v>
      </c>
    </row>
    <row r="57" spans="1:12" x14ac:dyDescent="0.25">
      <c r="A57" t="s">
        <v>89</v>
      </c>
      <c r="B57" t="s">
        <v>311</v>
      </c>
      <c r="C57" t="s">
        <v>312</v>
      </c>
      <c r="E57" s="4">
        <v>159</v>
      </c>
      <c r="F57" t="s">
        <v>305</v>
      </c>
      <c r="G57" s="9">
        <v>5.5655</v>
      </c>
      <c r="H57" s="4">
        <v>884.915</v>
      </c>
      <c r="I57" t="s">
        <v>306</v>
      </c>
      <c r="J57" s="10">
        <v>46283</v>
      </c>
      <c r="L57" t="s">
        <v>308</v>
      </c>
    </row>
    <row r="58" spans="1:12" x14ac:dyDescent="0.25">
      <c r="A58" t="s">
        <v>89</v>
      </c>
      <c r="B58" t="s">
        <v>313</v>
      </c>
      <c r="C58" t="s">
        <v>314</v>
      </c>
      <c r="E58" s="4">
        <v>200</v>
      </c>
      <c r="F58" t="s">
        <v>305</v>
      </c>
      <c r="G58" s="9">
        <v>5.5655</v>
      </c>
      <c r="H58" s="4">
        <v>1113.1</v>
      </c>
      <c r="I58" t="s">
        <v>306</v>
      </c>
      <c r="J58" s="10">
        <v>46283</v>
      </c>
      <c r="L58" t="s">
        <v>308</v>
      </c>
    </row>
    <row r="59" spans="1:12" x14ac:dyDescent="0.25">
      <c r="A59" t="s">
        <v>89</v>
      </c>
      <c r="B59" t="s">
        <v>328</v>
      </c>
      <c r="C59" t="s">
        <v>350</v>
      </c>
      <c r="D59" t="s">
        <v>347</v>
      </c>
      <c r="E59" s="4">
        <v>576</v>
      </c>
      <c r="F59" t="s">
        <v>305</v>
      </c>
      <c r="G59" s="9">
        <v>5.5659</v>
      </c>
      <c r="H59" s="4">
        <v>3205.958</v>
      </c>
      <c r="I59" t="s">
        <v>306</v>
      </c>
      <c r="J59" s="10">
        <v>46285</v>
      </c>
      <c r="L59" t="s">
        <v>308</v>
      </c>
    </row>
    <row r="60" spans="1:12" x14ac:dyDescent="0.25">
      <c r="A60" t="s">
        <v>89</v>
      </c>
      <c r="B60" t="s">
        <v>338</v>
      </c>
      <c r="C60" t="s">
        <v>339</v>
      </c>
      <c r="D60" t="s">
        <v>340</v>
      </c>
      <c r="E60" s="4">
        <v>75</v>
      </c>
      <c r="F60" t="s">
        <v>305</v>
      </c>
      <c r="G60" s="9">
        <v>5.578</v>
      </c>
      <c r="H60" s="4">
        <v>418.35</v>
      </c>
      <c r="I60" t="s">
        <v>306</v>
      </c>
      <c r="J60" s="10">
        <v>46289</v>
      </c>
      <c r="L60" t="s">
        <v>308</v>
      </c>
    </row>
    <row r="61" spans="1:12" x14ac:dyDescent="0.25">
      <c r="A61" t="s">
        <v>89</v>
      </c>
      <c r="B61" t="s">
        <v>30</v>
      </c>
      <c r="C61" t="s">
        <v>351</v>
      </c>
      <c r="D61" t="s">
        <v>352</v>
      </c>
      <c r="E61" s="4">
        <v>1008.75</v>
      </c>
      <c r="F61" t="s">
        <v>305</v>
      </c>
      <c r="G61" s="9">
        <v>5.5871</v>
      </c>
      <c r="H61" s="4">
        <v>5635.987</v>
      </c>
      <c r="I61" t="s">
        <v>306</v>
      </c>
      <c r="J61" s="10">
        <v>46293</v>
      </c>
      <c r="L61" t="s">
        <v>315</v>
      </c>
    </row>
    <row r="62" spans="1:12" x14ac:dyDescent="0.25">
      <c r="A62" t="s">
        <v>89</v>
      </c>
      <c r="B62" t="s">
        <v>353</v>
      </c>
      <c r="C62" t="s">
        <v>354</v>
      </c>
      <c r="D62" t="s">
        <v>340</v>
      </c>
      <c r="E62" s="4">
        <v>150</v>
      </c>
      <c r="F62" t="s">
        <v>305</v>
      </c>
      <c r="G62" s="9">
        <v>5.5871</v>
      </c>
      <c r="H62" s="4">
        <v>838.065</v>
      </c>
      <c r="I62" t="s">
        <v>306</v>
      </c>
      <c r="J62" s="10">
        <v>46293</v>
      </c>
      <c r="L62" t="s">
        <v>315</v>
      </c>
    </row>
    <row r="63" spans="1:12" x14ac:dyDescent="0.25">
      <c r="A63" t="s">
        <v>89</v>
      </c>
      <c r="B63" t="s">
        <v>355</v>
      </c>
      <c r="C63" t="s">
        <v>356</v>
      </c>
      <c r="D63" t="s">
        <v>357</v>
      </c>
      <c r="E63" s="4">
        <v>279.375</v>
      </c>
      <c r="F63" t="s">
        <v>305</v>
      </c>
      <c r="G63" s="9">
        <v>5.5871</v>
      </c>
      <c r="H63" s="4">
        <v>1560.896</v>
      </c>
      <c r="I63" t="s">
        <v>306</v>
      </c>
      <c r="J63" s="10">
        <v>46293</v>
      </c>
      <c r="L63" t="s">
        <v>308</v>
      </c>
    </row>
    <row r="64" spans="1:12" x14ac:dyDescent="0.25">
      <c r="A64" t="s">
        <v>95</v>
      </c>
      <c r="B64" t="s">
        <v>303</v>
      </c>
      <c r="C64" t="s">
        <v>358</v>
      </c>
      <c r="E64" s="4">
        <v>9950</v>
      </c>
      <c r="F64" t="s">
        <v>305</v>
      </c>
      <c r="G64" s="9">
        <v>5.5697</v>
      </c>
      <c r="H64" s="4">
        <v>55418.515</v>
      </c>
      <c r="I64" t="s">
        <v>306</v>
      </c>
      <c r="J64" s="10">
        <v>46282</v>
      </c>
      <c r="K64" t="s">
        <v>359</v>
      </c>
      <c r="L64" t="s">
        <v>308</v>
      </c>
    </row>
    <row r="65" spans="1:12" x14ac:dyDescent="0.25">
      <c r="A65" t="s">
        <v>95</v>
      </c>
      <c r="B65" t="s">
        <v>309</v>
      </c>
      <c r="C65" t="s">
        <v>310</v>
      </c>
      <c r="E65" s="4">
        <v>1046</v>
      </c>
      <c r="F65" t="s">
        <v>305</v>
      </c>
      <c r="G65" s="9">
        <v>5.5697</v>
      </c>
      <c r="H65" s="4">
        <v>5825.906</v>
      </c>
      <c r="I65" t="s">
        <v>306</v>
      </c>
      <c r="J65" s="10">
        <v>46282</v>
      </c>
      <c r="K65" t="s">
        <v>359</v>
      </c>
      <c r="L65" t="s">
        <v>308</v>
      </c>
    </row>
    <row r="66" spans="1:12" x14ac:dyDescent="0.25">
      <c r="A66" t="s">
        <v>95</v>
      </c>
      <c r="B66" t="s">
        <v>311</v>
      </c>
      <c r="C66" t="s">
        <v>312</v>
      </c>
      <c r="E66" s="4">
        <v>135</v>
      </c>
      <c r="F66" t="s">
        <v>305</v>
      </c>
      <c r="G66" s="9">
        <v>5.5697</v>
      </c>
      <c r="H66" s="4">
        <v>751.91</v>
      </c>
      <c r="I66" t="s">
        <v>306</v>
      </c>
      <c r="J66" s="10">
        <v>46282</v>
      </c>
      <c r="L66" t="s">
        <v>308</v>
      </c>
    </row>
    <row r="67" spans="1:12" x14ac:dyDescent="0.25">
      <c r="A67" t="s">
        <v>95</v>
      </c>
      <c r="B67" t="s">
        <v>313</v>
      </c>
      <c r="C67" t="s">
        <v>314</v>
      </c>
      <c r="E67" s="4">
        <v>200</v>
      </c>
      <c r="F67" t="s">
        <v>305</v>
      </c>
      <c r="G67" s="9">
        <v>5.5697</v>
      </c>
      <c r="H67" s="4">
        <v>1113.94</v>
      </c>
      <c r="I67" t="s">
        <v>306</v>
      </c>
      <c r="J67" s="10">
        <v>46282</v>
      </c>
      <c r="L67" t="s">
        <v>308</v>
      </c>
    </row>
    <row r="68" spans="1:12" x14ac:dyDescent="0.25">
      <c r="A68" t="s">
        <v>95</v>
      </c>
      <c r="B68" t="s">
        <v>328</v>
      </c>
      <c r="C68" t="s">
        <v>335</v>
      </c>
      <c r="D68" t="s">
        <v>330</v>
      </c>
      <c r="E68" s="4">
        <v>277</v>
      </c>
      <c r="F68" t="s">
        <v>305</v>
      </c>
      <c r="G68" s="9">
        <v>5.5633</v>
      </c>
      <c r="H68" s="4">
        <v>1541.034</v>
      </c>
      <c r="I68" t="s">
        <v>306</v>
      </c>
      <c r="J68" s="10">
        <v>46284</v>
      </c>
      <c r="L68" t="s">
        <v>308</v>
      </c>
    </row>
    <row r="69" spans="1:12" x14ac:dyDescent="0.25">
      <c r="A69" t="s">
        <v>95</v>
      </c>
      <c r="B69" t="s">
        <v>336</v>
      </c>
      <c r="C69" t="s">
        <v>337</v>
      </c>
      <c r="E69" s="4">
        <v>153</v>
      </c>
      <c r="F69" t="s">
        <v>305</v>
      </c>
      <c r="G69" s="9">
        <v>5.5718</v>
      </c>
      <c r="H69" s="4">
        <v>852.485</v>
      </c>
      <c r="I69" t="s">
        <v>306</v>
      </c>
      <c r="J69" s="10">
        <v>46286</v>
      </c>
      <c r="L69" t="s">
        <v>308</v>
      </c>
    </row>
    <row r="70" spans="1:12" x14ac:dyDescent="0.25">
      <c r="A70" t="s">
        <v>95</v>
      </c>
      <c r="B70" t="s">
        <v>338</v>
      </c>
      <c r="C70" t="s">
        <v>339</v>
      </c>
      <c r="D70" t="s">
        <v>340</v>
      </c>
      <c r="E70" s="4">
        <v>75</v>
      </c>
      <c r="F70" t="s">
        <v>305</v>
      </c>
      <c r="G70" s="9">
        <v>5.5734</v>
      </c>
      <c r="H70" s="4">
        <v>418.005</v>
      </c>
      <c r="I70" t="s">
        <v>306</v>
      </c>
      <c r="J70" s="10">
        <v>46288</v>
      </c>
      <c r="L70" t="s">
        <v>308</v>
      </c>
    </row>
    <row r="71" spans="1:12" x14ac:dyDescent="0.25">
      <c r="A71" t="s">
        <v>95</v>
      </c>
      <c r="B71" t="s">
        <v>30</v>
      </c>
      <c r="C71" t="s">
        <v>351</v>
      </c>
      <c r="D71" t="s">
        <v>352</v>
      </c>
      <c r="E71" s="4">
        <v>1008.75</v>
      </c>
      <c r="F71" t="s">
        <v>305</v>
      </c>
      <c r="G71" s="9">
        <v>5.5871</v>
      </c>
      <c r="H71" s="4">
        <v>5635.987</v>
      </c>
      <c r="I71" t="s">
        <v>306</v>
      </c>
      <c r="J71" s="10">
        <v>46293</v>
      </c>
      <c r="L71" t="s">
        <v>315</v>
      </c>
    </row>
    <row r="72" spans="1:12" x14ac:dyDescent="0.25">
      <c r="A72" t="s">
        <v>95</v>
      </c>
      <c r="B72" t="s">
        <v>353</v>
      </c>
      <c r="C72" t="s">
        <v>354</v>
      </c>
      <c r="D72" t="s">
        <v>340</v>
      </c>
      <c r="E72" s="4">
        <v>150</v>
      </c>
      <c r="F72" t="s">
        <v>305</v>
      </c>
      <c r="G72" s="9">
        <v>5.5871</v>
      </c>
      <c r="H72" s="4">
        <v>838.065</v>
      </c>
      <c r="I72" t="s">
        <v>306</v>
      </c>
      <c r="J72" s="10">
        <v>46293</v>
      </c>
      <c r="L72" t="s">
        <v>315</v>
      </c>
    </row>
    <row r="73" spans="1:12" x14ac:dyDescent="0.25">
      <c r="A73" t="s">
        <v>95</v>
      </c>
      <c r="B73" t="s">
        <v>355</v>
      </c>
      <c r="C73" t="s">
        <v>356</v>
      </c>
      <c r="D73" t="s">
        <v>357</v>
      </c>
      <c r="E73" s="4">
        <v>149.25</v>
      </c>
      <c r="F73" t="s">
        <v>305</v>
      </c>
      <c r="G73" s="9">
        <v>5.5871</v>
      </c>
      <c r="H73" s="4">
        <v>833.875</v>
      </c>
      <c r="I73" t="s">
        <v>306</v>
      </c>
      <c r="J73" s="10">
        <v>46293</v>
      </c>
      <c r="L73" t="s">
        <v>308</v>
      </c>
    </row>
    <row r="74" spans="1:12" x14ac:dyDescent="0.25">
      <c r="A74" t="s">
        <v>99</v>
      </c>
      <c r="B74" t="s">
        <v>303</v>
      </c>
      <c r="C74" t="s">
        <v>360</v>
      </c>
      <c r="E74" s="4">
        <v>20550</v>
      </c>
      <c r="F74" t="s">
        <v>305</v>
      </c>
      <c r="G74" s="9">
        <v>5.5697</v>
      </c>
      <c r="H74" s="4">
        <v>114457.335</v>
      </c>
      <c r="I74" t="s">
        <v>306</v>
      </c>
      <c r="J74" s="10">
        <v>46282</v>
      </c>
      <c r="K74" t="s">
        <v>361</v>
      </c>
      <c r="L74" t="s">
        <v>308</v>
      </c>
    </row>
    <row r="75" spans="1:12" x14ac:dyDescent="0.25">
      <c r="A75" t="s">
        <v>99</v>
      </c>
      <c r="B75" t="s">
        <v>309</v>
      </c>
      <c r="C75" t="s">
        <v>310</v>
      </c>
      <c r="E75" s="4">
        <v>1894</v>
      </c>
      <c r="F75" t="s">
        <v>305</v>
      </c>
      <c r="G75" s="9">
        <v>5.5697</v>
      </c>
      <c r="H75" s="4">
        <v>10549.012</v>
      </c>
      <c r="I75" t="s">
        <v>306</v>
      </c>
      <c r="J75" s="10">
        <v>46282</v>
      </c>
      <c r="K75" t="s">
        <v>361</v>
      </c>
      <c r="L75" t="s">
        <v>308</v>
      </c>
    </row>
    <row r="76" spans="1:12" x14ac:dyDescent="0.25">
      <c r="A76" t="s">
        <v>99</v>
      </c>
      <c r="B76" t="s">
        <v>311</v>
      </c>
      <c r="C76" t="s">
        <v>312</v>
      </c>
      <c r="E76" s="4">
        <v>159</v>
      </c>
      <c r="F76" t="s">
        <v>305</v>
      </c>
      <c r="G76" s="9">
        <v>5.5697</v>
      </c>
      <c r="H76" s="4">
        <v>885.582</v>
      </c>
      <c r="I76" t="s">
        <v>306</v>
      </c>
      <c r="J76" s="10">
        <v>46282</v>
      </c>
      <c r="L76" t="s">
        <v>308</v>
      </c>
    </row>
    <row r="77" spans="1:12" x14ac:dyDescent="0.25">
      <c r="A77" t="s">
        <v>99</v>
      </c>
      <c r="B77" t="s">
        <v>313</v>
      </c>
      <c r="C77" t="s">
        <v>314</v>
      </c>
      <c r="E77" s="4">
        <v>200</v>
      </c>
      <c r="F77" t="s">
        <v>305</v>
      </c>
      <c r="G77" s="9">
        <v>5.5697</v>
      </c>
      <c r="H77" s="4">
        <v>1113.94</v>
      </c>
      <c r="I77" t="s">
        <v>306</v>
      </c>
      <c r="J77" s="10">
        <v>46282</v>
      </c>
      <c r="L77" t="s">
        <v>308</v>
      </c>
    </row>
    <row r="78" spans="1:12" x14ac:dyDescent="0.25">
      <c r="A78" t="s">
        <v>99</v>
      </c>
      <c r="B78" t="s">
        <v>328</v>
      </c>
      <c r="C78" t="s">
        <v>362</v>
      </c>
      <c r="D78" t="s">
        <v>330</v>
      </c>
      <c r="E78" s="4">
        <v>487</v>
      </c>
      <c r="F78" t="s">
        <v>305</v>
      </c>
      <c r="G78" s="9">
        <v>5.5633</v>
      </c>
      <c r="H78" s="4">
        <v>2709.327</v>
      </c>
      <c r="I78" t="s">
        <v>306</v>
      </c>
      <c r="J78" s="10">
        <v>46284</v>
      </c>
      <c r="L78" t="s">
        <v>308</v>
      </c>
    </row>
    <row r="79" spans="1:12" x14ac:dyDescent="0.25">
      <c r="A79" t="s">
        <v>99</v>
      </c>
      <c r="B79" t="s">
        <v>338</v>
      </c>
      <c r="C79" t="s">
        <v>339</v>
      </c>
      <c r="D79" t="s">
        <v>340</v>
      </c>
      <c r="E79" s="4">
        <v>75</v>
      </c>
      <c r="F79" t="s">
        <v>305</v>
      </c>
      <c r="G79" s="9">
        <v>5.5734</v>
      </c>
      <c r="H79" s="4">
        <v>418.005</v>
      </c>
      <c r="I79" t="s">
        <v>306</v>
      </c>
      <c r="J79" s="10">
        <v>46288</v>
      </c>
      <c r="L79" t="s">
        <v>308</v>
      </c>
    </row>
    <row r="80" spans="1:12" x14ac:dyDescent="0.25">
      <c r="A80" t="s">
        <v>99</v>
      </c>
      <c r="B80" t="s">
        <v>30</v>
      </c>
      <c r="C80" t="s">
        <v>351</v>
      </c>
      <c r="D80" t="s">
        <v>352</v>
      </c>
      <c r="E80" s="4">
        <v>1008.75</v>
      </c>
      <c r="F80" t="s">
        <v>305</v>
      </c>
      <c r="G80" s="9">
        <v>5.5871</v>
      </c>
      <c r="H80" s="4">
        <v>5635.987</v>
      </c>
      <c r="I80" t="s">
        <v>306</v>
      </c>
      <c r="J80" s="10">
        <v>46293</v>
      </c>
      <c r="L80" t="s">
        <v>315</v>
      </c>
    </row>
    <row r="81" spans="1:12" x14ac:dyDescent="0.25">
      <c r="A81" t="s">
        <v>99</v>
      </c>
      <c r="B81" t="s">
        <v>353</v>
      </c>
      <c r="C81" t="s">
        <v>354</v>
      </c>
      <c r="D81" t="s">
        <v>340</v>
      </c>
      <c r="E81" s="4">
        <v>150</v>
      </c>
      <c r="F81" t="s">
        <v>305</v>
      </c>
      <c r="G81" s="9">
        <v>5.5871</v>
      </c>
      <c r="H81" s="4">
        <v>838.065</v>
      </c>
      <c r="I81" t="s">
        <v>306</v>
      </c>
      <c r="J81" s="10">
        <v>46293</v>
      </c>
      <c r="L81" t="s">
        <v>315</v>
      </c>
    </row>
    <row r="82" spans="1:12" x14ac:dyDescent="0.25">
      <c r="A82" t="s">
        <v>99</v>
      </c>
      <c r="B82" t="s">
        <v>355</v>
      </c>
      <c r="C82" t="s">
        <v>356</v>
      </c>
      <c r="D82" t="s">
        <v>357</v>
      </c>
      <c r="E82" s="4">
        <v>308.25</v>
      </c>
      <c r="F82" t="s">
        <v>305</v>
      </c>
      <c r="G82" s="9">
        <v>5.5871</v>
      </c>
      <c r="H82" s="4">
        <v>1722.224</v>
      </c>
      <c r="I82" t="s">
        <v>306</v>
      </c>
      <c r="J82" s="10">
        <v>46293</v>
      </c>
      <c r="L82" t="s">
        <v>308</v>
      </c>
    </row>
    <row r="83" spans="1:12" x14ac:dyDescent="0.25">
      <c r="A83" t="s">
        <v>103</v>
      </c>
      <c r="B83" t="s">
        <v>303</v>
      </c>
      <c r="C83" t="s">
        <v>363</v>
      </c>
      <c r="E83" s="4">
        <v>11425</v>
      </c>
      <c r="F83" t="s">
        <v>305</v>
      </c>
      <c r="G83" s="9">
        <v>5.5689</v>
      </c>
      <c r="H83" s="4">
        <v>63624.683</v>
      </c>
      <c r="I83" t="s">
        <v>306</v>
      </c>
      <c r="J83" s="10">
        <v>46281</v>
      </c>
      <c r="K83" t="s">
        <v>364</v>
      </c>
      <c r="L83" t="s">
        <v>308</v>
      </c>
    </row>
    <row r="84" spans="1:12" x14ac:dyDescent="0.25">
      <c r="A84" t="s">
        <v>103</v>
      </c>
      <c r="B84" t="s">
        <v>309</v>
      </c>
      <c r="C84" t="s">
        <v>310</v>
      </c>
      <c r="E84" s="4">
        <v>1164</v>
      </c>
      <c r="F84" t="s">
        <v>305</v>
      </c>
      <c r="G84" s="9">
        <v>5.5689</v>
      </c>
      <c r="H84" s="4">
        <v>6482.2</v>
      </c>
      <c r="I84" t="s">
        <v>306</v>
      </c>
      <c r="J84" s="10">
        <v>46281</v>
      </c>
      <c r="K84" t="s">
        <v>364</v>
      </c>
      <c r="L84" t="s">
        <v>308</v>
      </c>
    </row>
    <row r="85" spans="1:12" x14ac:dyDescent="0.25">
      <c r="A85" t="s">
        <v>103</v>
      </c>
      <c r="B85" t="s">
        <v>311</v>
      </c>
      <c r="C85" t="s">
        <v>312</v>
      </c>
      <c r="E85" s="4">
        <v>159</v>
      </c>
      <c r="F85" t="s">
        <v>305</v>
      </c>
      <c r="G85" s="9">
        <v>5.5689</v>
      </c>
      <c r="H85" s="4">
        <v>885.455</v>
      </c>
      <c r="I85" t="s">
        <v>306</v>
      </c>
      <c r="J85" s="10">
        <v>46281</v>
      </c>
      <c r="L85" t="s">
        <v>308</v>
      </c>
    </row>
    <row r="86" spans="1:12" x14ac:dyDescent="0.25">
      <c r="A86" t="s">
        <v>103</v>
      </c>
      <c r="B86" t="s">
        <v>313</v>
      </c>
      <c r="C86" t="s">
        <v>314</v>
      </c>
      <c r="E86" s="4">
        <v>200</v>
      </c>
      <c r="F86" t="s">
        <v>305</v>
      </c>
      <c r="G86" s="9">
        <v>5.5689</v>
      </c>
      <c r="H86" s="4">
        <v>1113.78</v>
      </c>
      <c r="I86" t="s">
        <v>306</v>
      </c>
      <c r="J86" s="10">
        <v>46281</v>
      </c>
      <c r="L86" t="s">
        <v>308</v>
      </c>
    </row>
    <row r="87" spans="1:12" x14ac:dyDescent="0.25">
      <c r="A87" t="s">
        <v>103</v>
      </c>
      <c r="B87" t="s">
        <v>328</v>
      </c>
      <c r="C87" t="s">
        <v>346</v>
      </c>
      <c r="D87" t="s">
        <v>347</v>
      </c>
      <c r="E87" s="4">
        <v>453</v>
      </c>
      <c r="F87" t="s">
        <v>305</v>
      </c>
      <c r="G87" s="9">
        <v>5.5655</v>
      </c>
      <c r="H87" s="4">
        <v>2521.172</v>
      </c>
      <c r="I87" t="s">
        <v>306</v>
      </c>
      <c r="J87" s="10">
        <v>46283</v>
      </c>
      <c r="L87" t="s">
        <v>308</v>
      </c>
    </row>
    <row r="88" spans="1:12" x14ac:dyDescent="0.25">
      <c r="A88" t="s">
        <v>103</v>
      </c>
      <c r="B88" t="s">
        <v>338</v>
      </c>
      <c r="C88" t="s">
        <v>339</v>
      </c>
      <c r="D88" t="s">
        <v>340</v>
      </c>
      <c r="E88" s="4">
        <v>75</v>
      </c>
      <c r="F88" t="s">
        <v>305</v>
      </c>
      <c r="G88" s="9">
        <v>5.5813</v>
      </c>
      <c r="H88" s="4">
        <v>418.598</v>
      </c>
      <c r="I88" t="s">
        <v>306</v>
      </c>
      <c r="J88" s="10">
        <v>46287</v>
      </c>
      <c r="L88" t="s">
        <v>308</v>
      </c>
    </row>
    <row r="89" spans="1:12" x14ac:dyDescent="0.25">
      <c r="A89" t="s">
        <v>103</v>
      </c>
      <c r="B89" t="s">
        <v>30</v>
      </c>
      <c r="C89" t="s">
        <v>351</v>
      </c>
      <c r="D89" t="s">
        <v>352</v>
      </c>
      <c r="E89" s="4">
        <v>1008.75</v>
      </c>
      <c r="F89" t="s">
        <v>305</v>
      </c>
      <c r="G89" s="9">
        <v>5.5871</v>
      </c>
      <c r="H89" s="4">
        <v>5635.987</v>
      </c>
      <c r="I89" t="s">
        <v>306</v>
      </c>
      <c r="J89" s="10">
        <v>46293</v>
      </c>
      <c r="L89" t="s">
        <v>315</v>
      </c>
    </row>
    <row r="90" spans="1:12" x14ac:dyDescent="0.25">
      <c r="A90" t="s">
        <v>103</v>
      </c>
      <c r="B90" t="s">
        <v>353</v>
      </c>
      <c r="C90" t="s">
        <v>354</v>
      </c>
      <c r="D90" t="s">
        <v>340</v>
      </c>
      <c r="E90" s="4">
        <v>150</v>
      </c>
      <c r="F90" t="s">
        <v>305</v>
      </c>
      <c r="G90" s="9">
        <v>5.5871</v>
      </c>
      <c r="H90" s="4">
        <v>838.065</v>
      </c>
      <c r="I90" t="s">
        <v>306</v>
      </c>
      <c r="J90" s="10">
        <v>46293</v>
      </c>
      <c r="L90" t="s">
        <v>315</v>
      </c>
    </row>
    <row r="91" spans="1:12" x14ac:dyDescent="0.25">
      <c r="A91" t="s">
        <v>103</v>
      </c>
      <c r="B91" t="s">
        <v>355</v>
      </c>
      <c r="C91" t="s">
        <v>356</v>
      </c>
      <c r="D91" t="s">
        <v>357</v>
      </c>
      <c r="E91" s="4">
        <v>171.375</v>
      </c>
      <c r="F91" t="s">
        <v>305</v>
      </c>
      <c r="G91" s="9">
        <v>5.5871</v>
      </c>
      <c r="H91" s="4">
        <v>957.489</v>
      </c>
      <c r="I91" t="s">
        <v>306</v>
      </c>
      <c r="J91" s="10">
        <v>46293</v>
      </c>
      <c r="L91" t="s">
        <v>308</v>
      </c>
    </row>
    <row r="92" spans="1:12" x14ac:dyDescent="0.25">
      <c r="A92" t="s">
        <v>107</v>
      </c>
      <c r="B92" t="s">
        <v>303</v>
      </c>
      <c r="C92" t="s">
        <v>365</v>
      </c>
      <c r="E92" s="4">
        <v>9425</v>
      </c>
      <c r="F92" t="s">
        <v>305</v>
      </c>
      <c r="G92" s="9">
        <v>5.5565</v>
      </c>
      <c r="H92" s="4">
        <v>52370.013</v>
      </c>
      <c r="I92" t="s">
        <v>306</v>
      </c>
      <c r="J92" s="10">
        <v>46277</v>
      </c>
      <c r="K92" t="s">
        <v>366</v>
      </c>
      <c r="L92" t="s">
        <v>308</v>
      </c>
    </row>
    <row r="93" spans="1:12" x14ac:dyDescent="0.25">
      <c r="A93" t="s">
        <v>107</v>
      </c>
      <c r="B93" t="s">
        <v>309</v>
      </c>
      <c r="C93" t="s">
        <v>310</v>
      </c>
      <c r="E93" s="4">
        <v>1004</v>
      </c>
      <c r="F93" t="s">
        <v>305</v>
      </c>
      <c r="G93" s="9">
        <v>5.5565</v>
      </c>
      <c r="H93" s="4">
        <v>5578.726</v>
      </c>
      <c r="I93" t="s">
        <v>306</v>
      </c>
      <c r="J93" s="10">
        <v>46277</v>
      </c>
      <c r="K93" t="s">
        <v>366</v>
      </c>
      <c r="L93" t="s">
        <v>308</v>
      </c>
    </row>
    <row r="94" spans="1:12" x14ac:dyDescent="0.25">
      <c r="A94" t="s">
        <v>107</v>
      </c>
      <c r="B94" t="s">
        <v>311</v>
      </c>
      <c r="C94" t="s">
        <v>312</v>
      </c>
      <c r="E94" s="4">
        <v>159</v>
      </c>
      <c r="F94" t="s">
        <v>305</v>
      </c>
      <c r="G94" s="9">
        <v>5.5565</v>
      </c>
      <c r="H94" s="4">
        <v>883.484</v>
      </c>
      <c r="I94" t="s">
        <v>306</v>
      </c>
      <c r="J94" s="10">
        <v>46277</v>
      </c>
      <c r="L94" t="s">
        <v>308</v>
      </c>
    </row>
    <row r="95" spans="1:12" x14ac:dyDescent="0.25">
      <c r="A95" t="s">
        <v>107</v>
      </c>
      <c r="B95" t="s">
        <v>313</v>
      </c>
      <c r="C95" t="s">
        <v>314</v>
      </c>
      <c r="E95" s="4">
        <v>200</v>
      </c>
      <c r="F95" t="s">
        <v>305</v>
      </c>
      <c r="G95" s="9">
        <v>5.5565</v>
      </c>
      <c r="H95" s="4">
        <v>1111.3</v>
      </c>
      <c r="I95" t="s">
        <v>306</v>
      </c>
      <c r="J95" s="10">
        <v>46277</v>
      </c>
      <c r="L95" t="s">
        <v>308</v>
      </c>
    </row>
    <row r="96" spans="1:12" x14ac:dyDescent="0.25">
      <c r="A96" t="s">
        <v>107</v>
      </c>
      <c r="B96" t="s">
        <v>328</v>
      </c>
      <c r="C96" t="s">
        <v>350</v>
      </c>
      <c r="D96" t="s">
        <v>347</v>
      </c>
      <c r="E96" s="4">
        <v>304</v>
      </c>
      <c r="F96" t="s">
        <v>305</v>
      </c>
      <c r="G96" s="9">
        <v>5.5612</v>
      </c>
      <c r="H96" s="4">
        <v>1690.605</v>
      </c>
      <c r="I96" t="s">
        <v>306</v>
      </c>
      <c r="J96" s="10">
        <v>46279</v>
      </c>
      <c r="L96" t="s">
        <v>308</v>
      </c>
    </row>
    <row r="97" spans="1:12" x14ac:dyDescent="0.25">
      <c r="A97" t="s">
        <v>107</v>
      </c>
      <c r="B97" t="s">
        <v>338</v>
      </c>
      <c r="C97" t="s">
        <v>339</v>
      </c>
      <c r="D97" t="s">
        <v>340</v>
      </c>
      <c r="E97" s="4">
        <v>75</v>
      </c>
      <c r="F97" t="s">
        <v>305</v>
      </c>
      <c r="G97" s="9">
        <v>5.5655</v>
      </c>
      <c r="H97" s="4">
        <v>417.413</v>
      </c>
      <c r="I97" t="s">
        <v>306</v>
      </c>
      <c r="J97" s="10">
        <v>46283</v>
      </c>
      <c r="L97" t="s">
        <v>308</v>
      </c>
    </row>
    <row r="98" spans="1:12" x14ac:dyDescent="0.25">
      <c r="A98" t="s">
        <v>107</v>
      </c>
      <c r="B98" t="s">
        <v>30</v>
      </c>
      <c r="C98" t="s">
        <v>367</v>
      </c>
      <c r="D98" t="s">
        <v>368</v>
      </c>
      <c r="E98" s="4">
        <v>1047.25</v>
      </c>
      <c r="F98" t="s">
        <v>305</v>
      </c>
      <c r="G98" s="9">
        <v>5.5813</v>
      </c>
      <c r="H98" s="4">
        <v>5845.016</v>
      </c>
      <c r="I98" t="s">
        <v>306</v>
      </c>
      <c r="J98" s="10">
        <v>46287</v>
      </c>
      <c r="L98" t="s">
        <v>308</v>
      </c>
    </row>
    <row r="99" spans="1:12" x14ac:dyDescent="0.25">
      <c r="A99" t="s">
        <v>107</v>
      </c>
      <c r="B99" t="s">
        <v>353</v>
      </c>
      <c r="C99" t="s">
        <v>369</v>
      </c>
      <c r="D99" t="s">
        <v>340</v>
      </c>
      <c r="E99" s="4">
        <v>150</v>
      </c>
      <c r="F99" t="s">
        <v>305</v>
      </c>
      <c r="G99" s="9">
        <v>5.5813</v>
      </c>
      <c r="H99" s="4">
        <v>837.195</v>
      </c>
      <c r="I99" t="s">
        <v>306</v>
      </c>
      <c r="J99" s="10">
        <v>46287</v>
      </c>
      <c r="L99" t="s">
        <v>308</v>
      </c>
    </row>
    <row r="100" spans="1:12" x14ac:dyDescent="0.25">
      <c r="A100" t="s">
        <v>107</v>
      </c>
      <c r="B100" t="s">
        <v>355</v>
      </c>
      <c r="C100" t="s">
        <v>356</v>
      </c>
      <c r="D100" t="s">
        <v>357</v>
      </c>
      <c r="E100" s="4">
        <v>141.375</v>
      </c>
      <c r="F100" t="s">
        <v>305</v>
      </c>
      <c r="G100" s="9">
        <v>5.5813</v>
      </c>
      <c r="H100" s="4">
        <v>789.056</v>
      </c>
      <c r="I100" t="s">
        <v>306</v>
      </c>
      <c r="J100" s="10">
        <v>46287</v>
      </c>
      <c r="L100" t="s">
        <v>308</v>
      </c>
    </row>
    <row r="101" spans="1:12" x14ac:dyDescent="0.25">
      <c r="A101" t="s">
        <v>107</v>
      </c>
      <c r="B101" t="s">
        <v>370</v>
      </c>
      <c r="C101" t="s">
        <v>371</v>
      </c>
      <c r="E101" s="4">
        <v>10367.5</v>
      </c>
      <c r="F101" t="s">
        <v>372</v>
      </c>
      <c r="G101" s="9">
        <v>1</v>
      </c>
      <c r="H101" s="4">
        <v>10367.5</v>
      </c>
      <c r="I101" t="s">
        <v>373</v>
      </c>
      <c r="J101" s="10">
        <v>46310</v>
      </c>
      <c r="L101" t="s">
        <v>315</v>
      </c>
    </row>
    <row r="102" spans="1:12" x14ac:dyDescent="0.25">
      <c r="A102" t="s">
        <v>113</v>
      </c>
      <c r="B102" t="s">
        <v>303</v>
      </c>
      <c r="C102" t="s">
        <v>374</v>
      </c>
      <c r="E102" s="4">
        <v>28450</v>
      </c>
      <c r="F102" t="s">
        <v>305</v>
      </c>
      <c r="G102" s="9">
        <v>5.5565</v>
      </c>
      <c r="H102" s="4">
        <v>158082.425</v>
      </c>
      <c r="I102" t="s">
        <v>306</v>
      </c>
      <c r="J102" s="10">
        <v>46277</v>
      </c>
      <c r="K102" t="s">
        <v>375</v>
      </c>
      <c r="L102" t="s">
        <v>308</v>
      </c>
    </row>
    <row r="103" spans="1:12" x14ac:dyDescent="0.25">
      <c r="A103" t="s">
        <v>113</v>
      </c>
      <c r="B103" t="s">
        <v>309</v>
      </c>
      <c r="C103" t="s">
        <v>310</v>
      </c>
      <c r="E103" s="4">
        <v>2526</v>
      </c>
      <c r="F103" t="s">
        <v>305</v>
      </c>
      <c r="G103" s="9">
        <v>5.5565</v>
      </c>
      <c r="H103" s="4">
        <v>14035.719</v>
      </c>
      <c r="I103" t="s">
        <v>306</v>
      </c>
      <c r="J103" s="10">
        <v>46277</v>
      </c>
      <c r="K103" t="s">
        <v>375</v>
      </c>
      <c r="L103" t="s">
        <v>308</v>
      </c>
    </row>
    <row r="104" spans="1:12" x14ac:dyDescent="0.25">
      <c r="A104" t="s">
        <v>113</v>
      </c>
      <c r="B104" t="s">
        <v>311</v>
      </c>
      <c r="C104" t="s">
        <v>312</v>
      </c>
      <c r="E104" s="4">
        <v>135</v>
      </c>
      <c r="F104" t="s">
        <v>305</v>
      </c>
      <c r="G104" s="9">
        <v>5.5565</v>
      </c>
      <c r="H104" s="4">
        <v>750.128</v>
      </c>
      <c r="I104" t="s">
        <v>306</v>
      </c>
      <c r="J104" s="10">
        <v>46277</v>
      </c>
      <c r="L104" t="s">
        <v>308</v>
      </c>
    </row>
    <row r="105" spans="1:12" x14ac:dyDescent="0.25">
      <c r="A105" t="s">
        <v>113</v>
      </c>
      <c r="B105" t="s">
        <v>313</v>
      </c>
      <c r="C105" t="s">
        <v>314</v>
      </c>
      <c r="E105" s="4">
        <v>200</v>
      </c>
      <c r="F105" t="s">
        <v>305</v>
      </c>
      <c r="G105" s="9">
        <v>5.5565</v>
      </c>
      <c r="H105" s="4">
        <v>1111.3</v>
      </c>
      <c r="I105" t="s">
        <v>306</v>
      </c>
      <c r="J105" s="10">
        <v>46277</v>
      </c>
      <c r="L105" t="s">
        <v>308</v>
      </c>
    </row>
    <row r="106" spans="1:12" x14ac:dyDescent="0.25">
      <c r="A106" t="s">
        <v>113</v>
      </c>
      <c r="B106" t="s">
        <v>328</v>
      </c>
      <c r="C106" t="s">
        <v>350</v>
      </c>
      <c r="D106" t="s">
        <v>347</v>
      </c>
      <c r="E106" s="4">
        <v>297</v>
      </c>
      <c r="F106" t="s">
        <v>305</v>
      </c>
      <c r="G106" s="9">
        <v>5.5612</v>
      </c>
      <c r="H106" s="4">
        <v>1651.676</v>
      </c>
      <c r="I106" t="s">
        <v>306</v>
      </c>
      <c r="J106" s="10">
        <v>46279</v>
      </c>
      <c r="L106" t="s">
        <v>308</v>
      </c>
    </row>
    <row r="107" spans="1:12" x14ac:dyDescent="0.25">
      <c r="A107" t="s">
        <v>113</v>
      </c>
      <c r="B107" t="s">
        <v>338</v>
      </c>
      <c r="C107" t="s">
        <v>339</v>
      </c>
      <c r="D107" t="s">
        <v>340</v>
      </c>
      <c r="E107" s="4">
        <v>75</v>
      </c>
      <c r="F107" t="s">
        <v>305</v>
      </c>
      <c r="G107" s="9">
        <v>5.5655</v>
      </c>
      <c r="H107" s="4">
        <v>417.413</v>
      </c>
      <c r="I107" t="s">
        <v>306</v>
      </c>
      <c r="J107" s="10">
        <v>46283</v>
      </c>
      <c r="L107" t="s">
        <v>308</v>
      </c>
    </row>
    <row r="108" spans="1:12" x14ac:dyDescent="0.25">
      <c r="A108" t="s">
        <v>113</v>
      </c>
      <c r="B108" t="s">
        <v>30</v>
      </c>
      <c r="C108" t="s">
        <v>367</v>
      </c>
      <c r="D108" t="s">
        <v>368</v>
      </c>
      <c r="E108" s="4">
        <v>1047.25</v>
      </c>
      <c r="F108" t="s">
        <v>305</v>
      </c>
      <c r="G108" s="9">
        <v>5.5813</v>
      </c>
      <c r="H108" s="4">
        <v>5845.016</v>
      </c>
      <c r="I108" t="s">
        <v>306</v>
      </c>
      <c r="J108" s="10">
        <v>46287</v>
      </c>
      <c r="L108" t="s">
        <v>308</v>
      </c>
    </row>
    <row r="109" spans="1:12" x14ac:dyDescent="0.25">
      <c r="A109" t="s">
        <v>113</v>
      </c>
      <c r="B109" t="s">
        <v>353</v>
      </c>
      <c r="C109" t="s">
        <v>369</v>
      </c>
      <c r="D109" t="s">
        <v>340</v>
      </c>
      <c r="E109" s="4">
        <v>150</v>
      </c>
      <c r="F109" t="s">
        <v>305</v>
      </c>
      <c r="G109" s="9">
        <v>5.5813</v>
      </c>
      <c r="H109" s="4">
        <v>837.195</v>
      </c>
      <c r="I109" t="s">
        <v>306</v>
      </c>
      <c r="J109" s="10">
        <v>46287</v>
      </c>
      <c r="L109" t="s">
        <v>308</v>
      </c>
    </row>
    <row r="110" spans="1:12" x14ac:dyDescent="0.25">
      <c r="A110" t="s">
        <v>113</v>
      </c>
      <c r="B110" t="s">
        <v>355</v>
      </c>
      <c r="C110" t="s">
        <v>356</v>
      </c>
      <c r="D110" t="s">
        <v>357</v>
      </c>
      <c r="E110" s="4">
        <v>426.75</v>
      </c>
      <c r="F110" t="s">
        <v>305</v>
      </c>
      <c r="G110" s="9">
        <v>5.5813</v>
      </c>
      <c r="H110" s="4">
        <v>2381.82</v>
      </c>
      <c r="I110" t="s">
        <v>306</v>
      </c>
      <c r="J110" s="10">
        <v>46287</v>
      </c>
      <c r="L110" t="s">
        <v>308</v>
      </c>
    </row>
    <row r="111" spans="1:12" x14ac:dyDescent="0.25">
      <c r="A111" t="s">
        <v>113</v>
      </c>
      <c r="B111" t="s">
        <v>370</v>
      </c>
      <c r="C111" t="s">
        <v>371</v>
      </c>
      <c r="E111" s="4">
        <v>31295</v>
      </c>
      <c r="F111" t="s">
        <v>372</v>
      </c>
      <c r="G111" s="9">
        <v>1</v>
      </c>
      <c r="H111" s="4">
        <v>31295</v>
      </c>
      <c r="I111" t="s">
        <v>373</v>
      </c>
      <c r="J111" s="10">
        <v>46310</v>
      </c>
      <c r="L111" t="s">
        <v>315</v>
      </c>
    </row>
    <row r="112" spans="1:12" x14ac:dyDescent="0.25">
      <c r="A112" t="s">
        <v>117</v>
      </c>
      <c r="B112" t="s">
        <v>303</v>
      </c>
      <c r="C112" t="s">
        <v>376</v>
      </c>
      <c r="E112" s="4">
        <v>14875</v>
      </c>
      <c r="F112" t="s">
        <v>305</v>
      </c>
      <c r="G112" s="9">
        <v>5.5654</v>
      </c>
      <c r="H112" s="4">
        <v>82785.325</v>
      </c>
      <c r="I112" t="s">
        <v>306</v>
      </c>
      <c r="J112" s="10">
        <v>46276</v>
      </c>
      <c r="K112" t="s">
        <v>377</v>
      </c>
      <c r="L112" t="s">
        <v>308</v>
      </c>
    </row>
    <row r="113" spans="1:12" x14ac:dyDescent="0.25">
      <c r="A113" t="s">
        <v>117</v>
      </c>
      <c r="B113" t="s">
        <v>309</v>
      </c>
      <c r="C113" t="s">
        <v>310</v>
      </c>
      <c r="E113" s="4">
        <v>1440</v>
      </c>
      <c r="F113" t="s">
        <v>305</v>
      </c>
      <c r="G113" s="9">
        <v>5.5654</v>
      </c>
      <c r="H113" s="4">
        <v>8014.176</v>
      </c>
      <c r="I113" t="s">
        <v>306</v>
      </c>
      <c r="J113" s="10">
        <v>46276</v>
      </c>
      <c r="K113" t="s">
        <v>377</v>
      </c>
      <c r="L113" t="s">
        <v>308</v>
      </c>
    </row>
    <row r="114" spans="1:12" x14ac:dyDescent="0.25">
      <c r="A114" t="s">
        <v>117</v>
      </c>
      <c r="B114" t="s">
        <v>311</v>
      </c>
      <c r="C114" t="s">
        <v>312</v>
      </c>
      <c r="E114" s="4">
        <v>135</v>
      </c>
      <c r="F114" t="s">
        <v>305</v>
      </c>
      <c r="G114" s="9">
        <v>5.5654</v>
      </c>
      <c r="H114" s="4">
        <v>751.329</v>
      </c>
      <c r="I114" t="s">
        <v>306</v>
      </c>
      <c r="J114" s="10">
        <v>46276</v>
      </c>
      <c r="L114" t="s">
        <v>308</v>
      </c>
    </row>
    <row r="115" spans="1:12" x14ac:dyDescent="0.25">
      <c r="A115" t="s">
        <v>117</v>
      </c>
      <c r="B115" t="s">
        <v>313</v>
      </c>
      <c r="C115" t="s">
        <v>314</v>
      </c>
      <c r="E115" s="4">
        <v>200</v>
      </c>
      <c r="F115" t="s">
        <v>305</v>
      </c>
      <c r="G115" s="9">
        <v>5.5654</v>
      </c>
      <c r="H115" s="4">
        <v>1113.08</v>
      </c>
      <c r="I115" t="s">
        <v>306</v>
      </c>
      <c r="J115" s="10">
        <v>46276</v>
      </c>
      <c r="L115" t="s">
        <v>308</v>
      </c>
    </row>
    <row r="116" spans="1:12" x14ac:dyDescent="0.25">
      <c r="A116" t="s">
        <v>117</v>
      </c>
      <c r="B116" t="s">
        <v>328</v>
      </c>
      <c r="C116" t="s">
        <v>350</v>
      </c>
      <c r="D116" t="s">
        <v>347</v>
      </c>
      <c r="E116" s="4">
        <v>279</v>
      </c>
      <c r="F116" t="s">
        <v>305</v>
      </c>
      <c r="G116" s="9">
        <v>5.5517</v>
      </c>
      <c r="H116" s="4">
        <v>1548.924</v>
      </c>
      <c r="I116" t="s">
        <v>306</v>
      </c>
      <c r="J116" s="10">
        <v>46278</v>
      </c>
      <c r="L116" t="s">
        <v>308</v>
      </c>
    </row>
    <row r="117" spans="1:12" x14ac:dyDescent="0.25">
      <c r="A117" t="s">
        <v>117</v>
      </c>
      <c r="B117" t="s">
        <v>338</v>
      </c>
      <c r="C117" t="s">
        <v>339</v>
      </c>
      <c r="D117" t="s">
        <v>340</v>
      </c>
      <c r="E117" s="4">
        <v>75</v>
      </c>
      <c r="F117" t="s">
        <v>305</v>
      </c>
      <c r="G117" s="9">
        <v>5.5697</v>
      </c>
      <c r="H117" s="4">
        <v>417.728</v>
      </c>
      <c r="I117" t="s">
        <v>306</v>
      </c>
      <c r="J117" s="10">
        <v>46282</v>
      </c>
      <c r="L117" t="s">
        <v>308</v>
      </c>
    </row>
    <row r="118" spans="1:12" x14ac:dyDescent="0.25">
      <c r="A118" t="s">
        <v>117</v>
      </c>
      <c r="B118" t="s">
        <v>30</v>
      </c>
      <c r="C118" t="s">
        <v>367</v>
      </c>
      <c r="D118" t="s">
        <v>368</v>
      </c>
      <c r="E118" s="4">
        <v>1047.25</v>
      </c>
      <c r="F118" t="s">
        <v>305</v>
      </c>
      <c r="G118" s="9">
        <v>5.5813</v>
      </c>
      <c r="H118" s="4">
        <v>5845.016</v>
      </c>
      <c r="I118" t="s">
        <v>306</v>
      </c>
      <c r="J118" s="10">
        <v>46287</v>
      </c>
      <c r="L118" t="s">
        <v>308</v>
      </c>
    </row>
    <row r="119" spans="1:12" x14ac:dyDescent="0.25">
      <c r="A119" t="s">
        <v>117</v>
      </c>
      <c r="B119" t="s">
        <v>353</v>
      </c>
      <c r="C119" t="s">
        <v>369</v>
      </c>
      <c r="D119" t="s">
        <v>340</v>
      </c>
      <c r="E119" s="4">
        <v>150</v>
      </c>
      <c r="F119" t="s">
        <v>305</v>
      </c>
      <c r="G119" s="9">
        <v>5.5813</v>
      </c>
      <c r="H119" s="4">
        <v>837.195</v>
      </c>
      <c r="I119" t="s">
        <v>306</v>
      </c>
      <c r="J119" s="10">
        <v>46287</v>
      </c>
      <c r="L119" t="s">
        <v>308</v>
      </c>
    </row>
    <row r="120" spans="1:12" x14ac:dyDescent="0.25">
      <c r="A120" t="s">
        <v>117</v>
      </c>
      <c r="B120" t="s">
        <v>355</v>
      </c>
      <c r="C120" t="s">
        <v>356</v>
      </c>
      <c r="D120" t="s">
        <v>357</v>
      </c>
      <c r="E120" s="4">
        <v>223.125</v>
      </c>
      <c r="F120" t="s">
        <v>305</v>
      </c>
      <c r="G120" s="9">
        <v>5.5813</v>
      </c>
      <c r="H120" s="4">
        <v>1245.328</v>
      </c>
      <c r="I120" t="s">
        <v>306</v>
      </c>
      <c r="J120" s="10">
        <v>46287</v>
      </c>
      <c r="L120" t="s">
        <v>308</v>
      </c>
    </row>
    <row r="121" spans="1:12" x14ac:dyDescent="0.25">
      <c r="A121" t="s">
        <v>117</v>
      </c>
      <c r="B121" t="s">
        <v>370</v>
      </c>
      <c r="C121" t="s">
        <v>371</v>
      </c>
      <c r="E121" s="4">
        <v>16362.5</v>
      </c>
      <c r="F121" t="s">
        <v>372</v>
      </c>
      <c r="G121" s="9">
        <v>1</v>
      </c>
      <c r="H121" s="4">
        <v>16362.5</v>
      </c>
      <c r="I121" t="s">
        <v>373</v>
      </c>
      <c r="J121" s="10">
        <v>46310</v>
      </c>
      <c r="L121" t="s">
        <v>315</v>
      </c>
    </row>
    <row r="122" spans="1:12" x14ac:dyDescent="0.25">
      <c r="A122" t="s">
        <v>121</v>
      </c>
      <c r="B122" t="s">
        <v>303</v>
      </c>
      <c r="C122" t="s">
        <v>378</v>
      </c>
      <c r="E122" s="4">
        <v>6800</v>
      </c>
      <c r="F122" t="s">
        <v>305</v>
      </c>
      <c r="G122" s="9">
        <v>5.5708</v>
      </c>
      <c r="H122" s="4">
        <v>37881.44</v>
      </c>
      <c r="I122" t="s">
        <v>306</v>
      </c>
      <c r="J122" s="10">
        <v>46275</v>
      </c>
      <c r="K122" t="s">
        <v>379</v>
      </c>
      <c r="L122" t="s">
        <v>308</v>
      </c>
    </row>
    <row r="123" spans="1:12" x14ac:dyDescent="0.25">
      <c r="A123" t="s">
        <v>121</v>
      </c>
      <c r="B123" t="s">
        <v>309</v>
      </c>
      <c r="C123" t="s">
        <v>310</v>
      </c>
      <c r="E123" s="4">
        <v>794</v>
      </c>
      <c r="F123" t="s">
        <v>305</v>
      </c>
      <c r="G123" s="9">
        <v>5.5708</v>
      </c>
      <c r="H123" s="4">
        <v>4423.215</v>
      </c>
      <c r="I123" t="s">
        <v>306</v>
      </c>
      <c r="J123" s="10">
        <v>46275</v>
      </c>
      <c r="K123" t="s">
        <v>379</v>
      </c>
      <c r="L123" t="s">
        <v>308</v>
      </c>
    </row>
    <row r="124" spans="1:12" x14ac:dyDescent="0.25">
      <c r="A124" t="s">
        <v>121</v>
      </c>
      <c r="B124" t="s">
        <v>311</v>
      </c>
      <c r="C124" t="s">
        <v>312</v>
      </c>
      <c r="E124" s="4">
        <v>159</v>
      </c>
      <c r="F124" t="s">
        <v>305</v>
      </c>
      <c r="G124" s="9">
        <v>5.5708</v>
      </c>
      <c r="H124" s="4">
        <v>885.757</v>
      </c>
      <c r="I124" t="s">
        <v>306</v>
      </c>
      <c r="J124" s="10">
        <v>46275</v>
      </c>
      <c r="L124" t="s">
        <v>308</v>
      </c>
    </row>
    <row r="125" spans="1:12" x14ac:dyDescent="0.25">
      <c r="A125" t="s">
        <v>121</v>
      </c>
      <c r="B125" t="s">
        <v>313</v>
      </c>
      <c r="C125" t="s">
        <v>314</v>
      </c>
      <c r="E125" s="4">
        <v>200</v>
      </c>
      <c r="F125" t="s">
        <v>305</v>
      </c>
      <c r="G125" s="9">
        <v>5.5708</v>
      </c>
      <c r="H125" s="4">
        <v>1114.16</v>
      </c>
      <c r="I125" t="s">
        <v>306</v>
      </c>
      <c r="J125" s="10">
        <v>46275</v>
      </c>
      <c r="L125" t="s">
        <v>308</v>
      </c>
    </row>
    <row r="126" spans="1:12" x14ac:dyDescent="0.25">
      <c r="A126" t="s">
        <v>121</v>
      </c>
      <c r="B126" t="s">
        <v>328</v>
      </c>
      <c r="C126" t="s">
        <v>346</v>
      </c>
      <c r="D126" t="s">
        <v>347</v>
      </c>
      <c r="E126" s="4">
        <v>732</v>
      </c>
      <c r="F126" t="s">
        <v>305</v>
      </c>
      <c r="G126" s="9">
        <v>5.5565</v>
      </c>
      <c r="H126" s="4">
        <v>4067.358</v>
      </c>
      <c r="I126" t="s">
        <v>306</v>
      </c>
      <c r="J126" s="10">
        <v>46277</v>
      </c>
      <c r="L126" t="s">
        <v>308</v>
      </c>
    </row>
    <row r="127" spans="1:12" x14ac:dyDescent="0.25">
      <c r="A127" t="s">
        <v>121</v>
      </c>
      <c r="B127" t="s">
        <v>338</v>
      </c>
      <c r="C127" t="s">
        <v>339</v>
      </c>
      <c r="D127" t="s">
        <v>340</v>
      </c>
      <c r="E127" s="4">
        <v>75</v>
      </c>
      <c r="F127" t="s">
        <v>305</v>
      </c>
      <c r="G127" s="9">
        <v>5.5689</v>
      </c>
      <c r="H127" s="4">
        <v>417.668</v>
      </c>
      <c r="I127" t="s">
        <v>306</v>
      </c>
      <c r="J127" s="10">
        <v>46281</v>
      </c>
      <c r="L127" t="s">
        <v>308</v>
      </c>
    </row>
    <row r="128" spans="1:12" x14ac:dyDescent="0.25">
      <c r="A128" t="s">
        <v>121</v>
      </c>
      <c r="B128" t="s">
        <v>30</v>
      </c>
      <c r="C128" t="s">
        <v>367</v>
      </c>
      <c r="D128" t="s">
        <v>368</v>
      </c>
      <c r="E128" s="4">
        <v>1047.25</v>
      </c>
      <c r="F128" t="s">
        <v>305</v>
      </c>
      <c r="G128" s="9">
        <v>5.5813</v>
      </c>
      <c r="H128" s="4">
        <v>5845.016</v>
      </c>
      <c r="I128" t="s">
        <v>306</v>
      </c>
      <c r="J128" s="10">
        <v>46287</v>
      </c>
      <c r="L128" t="s">
        <v>308</v>
      </c>
    </row>
    <row r="129" spans="1:12" x14ac:dyDescent="0.25">
      <c r="A129" t="s">
        <v>121</v>
      </c>
      <c r="B129" t="s">
        <v>353</v>
      </c>
      <c r="C129" t="s">
        <v>369</v>
      </c>
      <c r="D129" t="s">
        <v>340</v>
      </c>
      <c r="E129" s="4">
        <v>150</v>
      </c>
      <c r="F129" t="s">
        <v>305</v>
      </c>
      <c r="G129" s="9">
        <v>5.5813</v>
      </c>
      <c r="H129" s="4">
        <v>837.195</v>
      </c>
      <c r="I129" t="s">
        <v>306</v>
      </c>
      <c r="J129" s="10">
        <v>46287</v>
      </c>
      <c r="L129" t="s">
        <v>308</v>
      </c>
    </row>
    <row r="130" spans="1:12" x14ac:dyDescent="0.25">
      <c r="A130" t="s">
        <v>121</v>
      </c>
      <c r="B130" t="s">
        <v>355</v>
      </c>
      <c r="C130" t="s">
        <v>356</v>
      </c>
      <c r="D130" t="s">
        <v>357</v>
      </c>
      <c r="E130" s="4">
        <v>102</v>
      </c>
      <c r="F130" t="s">
        <v>305</v>
      </c>
      <c r="G130" s="9">
        <v>5.5813</v>
      </c>
      <c r="H130" s="4">
        <v>569.293</v>
      </c>
      <c r="I130" t="s">
        <v>306</v>
      </c>
      <c r="J130" s="10">
        <v>46287</v>
      </c>
      <c r="L130" t="s">
        <v>308</v>
      </c>
    </row>
    <row r="131" spans="1:12" x14ac:dyDescent="0.25">
      <c r="A131" t="s">
        <v>121</v>
      </c>
      <c r="B131" t="s">
        <v>370</v>
      </c>
      <c r="C131" t="s">
        <v>371</v>
      </c>
      <c r="E131" s="4">
        <v>7480</v>
      </c>
      <c r="F131" t="s">
        <v>372</v>
      </c>
      <c r="G131" s="9">
        <v>1</v>
      </c>
      <c r="H131" s="4">
        <v>7480</v>
      </c>
      <c r="I131" t="s">
        <v>373</v>
      </c>
      <c r="J131" s="10">
        <v>46310</v>
      </c>
      <c r="L131" t="s">
        <v>315</v>
      </c>
    </row>
    <row r="132" spans="1:12" x14ac:dyDescent="0.25">
      <c r="A132" t="s">
        <v>125</v>
      </c>
      <c r="B132" t="s">
        <v>303</v>
      </c>
      <c r="C132" t="s">
        <v>380</v>
      </c>
      <c r="E132" s="4">
        <v>9300</v>
      </c>
      <c r="F132" t="s">
        <v>305</v>
      </c>
      <c r="G132" s="9">
        <v>5.5517</v>
      </c>
      <c r="H132" s="4">
        <v>51630.81</v>
      </c>
      <c r="I132" t="s">
        <v>306</v>
      </c>
      <c r="J132" s="10">
        <v>46278</v>
      </c>
      <c r="K132" t="s">
        <v>381</v>
      </c>
      <c r="L132" t="s">
        <v>308</v>
      </c>
    </row>
    <row r="133" spans="1:12" x14ac:dyDescent="0.25">
      <c r="A133" t="s">
        <v>125</v>
      </c>
      <c r="B133" t="s">
        <v>309</v>
      </c>
      <c r="C133" t="s">
        <v>310</v>
      </c>
      <c r="E133" s="4">
        <v>994</v>
      </c>
      <c r="F133" t="s">
        <v>305</v>
      </c>
      <c r="G133" s="9">
        <v>5.5517</v>
      </c>
      <c r="H133" s="4">
        <v>5518.39</v>
      </c>
      <c r="I133" t="s">
        <v>306</v>
      </c>
      <c r="J133" s="10">
        <v>46278</v>
      </c>
      <c r="K133" t="s">
        <v>381</v>
      </c>
      <c r="L133" t="s">
        <v>308</v>
      </c>
    </row>
    <row r="134" spans="1:12" x14ac:dyDescent="0.25">
      <c r="A134" t="s">
        <v>125</v>
      </c>
      <c r="B134" t="s">
        <v>311</v>
      </c>
      <c r="C134" t="s">
        <v>312</v>
      </c>
      <c r="E134" s="4">
        <v>135</v>
      </c>
      <c r="F134" t="s">
        <v>305</v>
      </c>
      <c r="G134" s="9">
        <v>5.5517</v>
      </c>
      <c r="H134" s="4">
        <v>749.48</v>
      </c>
      <c r="I134" t="s">
        <v>306</v>
      </c>
      <c r="J134" s="10">
        <v>46278</v>
      </c>
      <c r="L134" t="s">
        <v>308</v>
      </c>
    </row>
    <row r="135" spans="1:12" x14ac:dyDescent="0.25">
      <c r="A135" t="s">
        <v>125</v>
      </c>
      <c r="B135" t="s">
        <v>313</v>
      </c>
      <c r="C135" t="s">
        <v>314</v>
      </c>
      <c r="E135" s="4">
        <v>200</v>
      </c>
      <c r="F135" t="s">
        <v>305</v>
      </c>
      <c r="G135" s="9">
        <v>5.5517</v>
      </c>
      <c r="H135" s="4">
        <v>1110.34</v>
      </c>
      <c r="I135" t="s">
        <v>306</v>
      </c>
      <c r="J135" s="10">
        <v>46278</v>
      </c>
      <c r="L135" t="s">
        <v>308</v>
      </c>
    </row>
    <row r="136" spans="1:12" x14ac:dyDescent="0.25">
      <c r="A136" t="s">
        <v>125</v>
      </c>
      <c r="B136" t="s">
        <v>328</v>
      </c>
      <c r="C136" t="s">
        <v>382</v>
      </c>
      <c r="D136" t="s">
        <v>330</v>
      </c>
      <c r="E136" s="4">
        <v>406</v>
      </c>
      <c r="F136" t="s">
        <v>305</v>
      </c>
      <c r="G136" s="9">
        <v>5.5632</v>
      </c>
      <c r="H136" s="4">
        <v>2258.659</v>
      </c>
      <c r="I136" t="s">
        <v>306</v>
      </c>
      <c r="J136" s="10">
        <v>46280</v>
      </c>
      <c r="L136" t="s">
        <v>308</v>
      </c>
    </row>
    <row r="137" spans="1:12" x14ac:dyDescent="0.25">
      <c r="A137" t="s">
        <v>125</v>
      </c>
      <c r="B137" t="s">
        <v>338</v>
      </c>
      <c r="C137" t="s">
        <v>339</v>
      </c>
      <c r="D137" t="s">
        <v>340</v>
      </c>
      <c r="E137" s="4">
        <v>75</v>
      </c>
      <c r="F137" t="s">
        <v>305</v>
      </c>
      <c r="G137" s="9">
        <v>5.5633</v>
      </c>
      <c r="H137" s="4">
        <v>417.248</v>
      </c>
      <c r="I137" t="s">
        <v>306</v>
      </c>
      <c r="J137" s="10">
        <v>46284</v>
      </c>
      <c r="L137" t="s">
        <v>308</v>
      </c>
    </row>
    <row r="138" spans="1:12" x14ac:dyDescent="0.25">
      <c r="A138" t="s">
        <v>125</v>
      </c>
      <c r="B138" t="s">
        <v>30</v>
      </c>
      <c r="C138" t="s">
        <v>383</v>
      </c>
      <c r="D138" t="s">
        <v>352</v>
      </c>
      <c r="E138" s="4">
        <v>1040.75</v>
      </c>
      <c r="F138" t="s">
        <v>305</v>
      </c>
      <c r="G138" s="9">
        <v>5.5813</v>
      </c>
      <c r="H138" s="4">
        <v>5808.738</v>
      </c>
      <c r="I138" t="s">
        <v>306</v>
      </c>
      <c r="J138" s="10">
        <v>46287</v>
      </c>
      <c r="L138" t="s">
        <v>308</v>
      </c>
    </row>
    <row r="139" spans="1:12" x14ac:dyDescent="0.25">
      <c r="A139" t="s">
        <v>125</v>
      </c>
      <c r="B139" t="s">
        <v>353</v>
      </c>
      <c r="C139" t="s">
        <v>384</v>
      </c>
      <c r="D139" t="s">
        <v>340</v>
      </c>
      <c r="E139" s="4">
        <v>150</v>
      </c>
      <c r="F139" t="s">
        <v>305</v>
      </c>
      <c r="G139" s="9">
        <v>5.5813</v>
      </c>
      <c r="H139" s="4">
        <v>837.195</v>
      </c>
      <c r="I139" t="s">
        <v>306</v>
      </c>
      <c r="J139" s="10">
        <v>46287</v>
      </c>
      <c r="L139" t="s">
        <v>308</v>
      </c>
    </row>
    <row r="140" spans="1:12" x14ac:dyDescent="0.25">
      <c r="A140" t="s">
        <v>125</v>
      </c>
      <c r="B140" t="s">
        <v>355</v>
      </c>
      <c r="C140" t="s">
        <v>356</v>
      </c>
      <c r="D140" t="s">
        <v>357</v>
      </c>
      <c r="E140" s="4">
        <v>139.5</v>
      </c>
      <c r="F140" t="s">
        <v>305</v>
      </c>
      <c r="G140" s="9">
        <v>5.5813</v>
      </c>
      <c r="H140" s="4">
        <v>778.591</v>
      </c>
      <c r="I140" t="s">
        <v>306</v>
      </c>
      <c r="J140" s="10">
        <v>46287</v>
      </c>
      <c r="L140" t="s">
        <v>308</v>
      </c>
    </row>
    <row r="141" spans="1:12" x14ac:dyDescent="0.25">
      <c r="A141" t="s">
        <v>125</v>
      </c>
      <c r="B141" t="s">
        <v>370</v>
      </c>
      <c r="C141" t="s">
        <v>371</v>
      </c>
      <c r="E141" s="4">
        <v>10230</v>
      </c>
      <c r="F141" t="s">
        <v>372</v>
      </c>
      <c r="G141" s="9">
        <v>1</v>
      </c>
      <c r="H141" s="4">
        <v>10230</v>
      </c>
      <c r="I141" t="s">
        <v>373</v>
      </c>
      <c r="J141" s="10">
        <v>46310</v>
      </c>
      <c r="L141" t="s">
        <v>315</v>
      </c>
    </row>
    <row r="142" spans="1:12" x14ac:dyDescent="0.25">
      <c r="A142" t="s">
        <v>130</v>
      </c>
      <c r="B142" t="s">
        <v>303</v>
      </c>
      <c r="C142" t="s">
        <v>385</v>
      </c>
      <c r="E142" s="4">
        <v>23975</v>
      </c>
      <c r="F142" t="s">
        <v>305</v>
      </c>
      <c r="G142" s="9">
        <v>5.5708</v>
      </c>
      <c r="H142" s="4">
        <v>133559.93</v>
      </c>
      <c r="I142" t="s">
        <v>306</v>
      </c>
      <c r="J142" s="10">
        <v>46275</v>
      </c>
      <c r="K142" t="s">
        <v>386</v>
      </c>
      <c r="L142" t="s">
        <v>308</v>
      </c>
    </row>
    <row r="143" spans="1:12" x14ac:dyDescent="0.25">
      <c r="A143" t="s">
        <v>130</v>
      </c>
      <c r="B143" t="s">
        <v>309</v>
      </c>
      <c r="C143" t="s">
        <v>310</v>
      </c>
      <c r="E143" s="4">
        <v>2168</v>
      </c>
      <c r="F143" t="s">
        <v>305</v>
      </c>
      <c r="G143" s="9">
        <v>5.5708</v>
      </c>
      <c r="H143" s="4">
        <v>12077.494</v>
      </c>
      <c r="I143" t="s">
        <v>306</v>
      </c>
      <c r="J143" s="10">
        <v>46275</v>
      </c>
      <c r="K143" t="s">
        <v>386</v>
      </c>
      <c r="L143" t="s">
        <v>308</v>
      </c>
    </row>
    <row r="144" spans="1:12" x14ac:dyDescent="0.25">
      <c r="A144" t="s">
        <v>130</v>
      </c>
      <c r="B144" t="s">
        <v>311</v>
      </c>
      <c r="C144" t="s">
        <v>312</v>
      </c>
      <c r="E144" s="4">
        <v>135</v>
      </c>
      <c r="F144" t="s">
        <v>305</v>
      </c>
      <c r="G144" s="9">
        <v>5.5708</v>
      </c>
      <c r="H144" s="4">
        <v>752.058</v>
      </c>
      <c r="I144" t="s">
        <v>306</v>
      </c>
      <c r="J144" s="10">
        <v>46275</v>
      </c>
      <c r="L144" t="s">
        <v>308</v>
      </c>
    </row>
    <row r="145" spans="1:12" x14ac:dyDescent="0.25">
      <c r="A145" t="s">
        <v>130</v>
      </c>
      <c r="B145" t="s">
        <v>313</v>
      </c>
      <c r="C145" t="s">
        <v>314</v>
      </c>
      <c r="E145" s="4">
        <v>200</v>
      </c>
      <c r="F145" t="s">
        <v>305</v>
      </c>
      <c r="G145" s="9">
        <v>5.5708</v>
      </c>
      <c r="H145" s="4">
        <v>1114.16</v>
      </c>
      <c r="I145" t="s">
        <v>306</v>
      </c>
      <c r="J145" s="10">
        <v>46275</v>
      </c>
      <c r="L145" t="s">
        <v>308</v>
      </c>
    </row>
    <row r="146" spans="1:12" x14ac:dyDescent="0.25">
      <c r="A146" t="s">
        <v>130</v>
      </c>
      <c r="B146" t="s">
        <v>328</v>
      </c>
      <c r="C146" t="s">
        <v>387</v>
      </c>
      <c r="D146" t="s">
        <v>330</v>
      </c>
      <c r="E146" s="4">
        <v>583</v>
      </c>
      <c r="F146" t="s">
        <v>305</v>
      </c>
      <c r="G146" s="9">
        <v>5.5565</v>
      </c>
      <c r="H146" s="4">
        <v>3239.44</v>
      </c>
      <c r="I146" t="s">
        <v>306</v>
      </c>
      <c r="J146" s="10">
        <v>46277</v>
      </c>
      <c r="L146" t="s">
        <v>308</v>
      </c>
    </row>
    <row r="147" spans="1:12" x14ac:dyDescent="0.25">
      <c r="A147" t="s">
        <v>130</v>
      </c>
      <c r="B147" t="s">
        <v>338</v>
      </c>
      <c r="C147" t="s">
        <v>339</v>
      </c>
      <c r="D147" t="s">
        <v>340</v>
      </c>
      <c r="E147" s="4">
        <v>75</v>
      </c>
      <c r="F147" t="s">
        <v>305</v>
      </c>
      <c r="G147" s="9">
        <v>5.5689</v>
      </c>
      <c r="H147" s="4">
        <v>417.668</v>
      </c>
      <c r="I147" t="s">
        <v>306</v>
      </c>
      <c r="J147" s="10">
        <v>46281</v>
      </c>
      <c r="L147" t="s">
        <v>308</v>
      </c>
    </row>
    <row r="148" spans="1:12" x14ac:dyDescent="0.25">
      <c r="A148" t="s">
        <v>130</v>
      </c>
      <c r="B148" t="s">
        <v>30</v>
      </c>
      <c r="C148" t="s">
        <v>383</v>
      </c>
      <c r="D148" t="s">
        <v>352</v>
      </c>
      <c r="E148" s="4">
        <v>1040.75</v>
      </c>
      <c r="F148" t="s">
        <v>305</v>
      </c>
      <c r="G148" s="9">
        <v>5.5813</v>
      </c>
      <c r="H148" s="4">
        <v>5808.738</v>
      </c>
      <c r="I148" t="s">
        <v>306</v>
      </c>
      <c r="J148" s="10">
        <v>46287</v>
      </c>
      <c r="L148" t="s">
        <v>308</v>
      </c>
    </row>
    <row r="149" spans="1:12" x14ac:dyDescent="0.25">
      <c r="A149" t="s">
        <v>130</v>
      </c>
      <c r="B149" t="s">
        <v>353</v>
      </c>
      <c r="C149" t="s">
        <v>384</v>
      </c>
      <c r="D149" t="s">
        <v>340</v>
      </c>
      <c r="E149" s="4">
        <v>150</v>
      </c>
      <c r="F149" t="s">
        <v>305</v>
      </c>
      <c r="G149" s="9">
        <v>5.5813</v>
      </c>
      <c r="H149" s="4">
        <v>837.195</v>
      </c>
      <c r="I149" t="s">
        <v>306</v>
      </c>
      <c r="J149" s="10">
        <v>46287</v>
      </c>
      <c r="L149" t="s">
        <v>308</v>
      </c>
    </row>
    <row r="150" spans="1:12" x14ac:dyDescent="0.25">
      <c r="A150" t="s">
        <v>130</v>
      </c>
      <c r="B150" t="s">
        <v>355</v>
      </c>
      <c r="C150" t="s">
        <v>356</v>
      </c>
      <c r="D150" t="s">
        <v>357</v>
      </c>
      <c r="E150" s="4">
        <v>359.625</v>
      </c>
      <c r="F150" t="s">
        <v>305</v>
      </c>
      <c r="G150" s="9">
        <v>5.5813</v>
      </c>
      <c r="H150" s="4">
        <v>2007.175</v>
      </c>
      <c r="I150" t="s">
        <v>306</v>
      </c>
      <c r="J150" s="10">
        <v>46287</v>
      </c>
      <c r="L150" t="s">
        <v>308</v>
      </c>
    </row>
    <row r="151" spans="1:12" x14ac:dyDescent="0.25">
      <c r="A151" t="s">
        <v>130</v>
      </c>
      <c r="B151" t="s">
        <v>370</v>
      </c>
      <c r="C151" t="s">
        <v>371</v>
      </c>
      <c r="E151" s="4">
        <v>26372.5</v>
      </c>
      <c r="F151" t="s">
        <v>372</v>
      </c>
      <c r="G151" s="9">
        <v>1</v>
      </c>
      <c r="H151" s="4">
        <v>26372.5</v>
      </c>
      <c r="I151" t="s">
        <v>373</v>
      </c>
      <c r="J151" s="10">
        <v>46310</v>
      </c>
      <c r="L151" t="s">
        <v>315</v>
      </c>
    </row>
    <row r="152" spans="1:12" x14ac:dyDescent="0.25">
      <c r="A152" t="s">
        <v>134</v>
      </c>
      <c r="B152" t="s">
        <v>303</v>
      </c>
      <c r="C152" t="s">
        <v>388</v>
      </c>
      <c r="E152" s="4">
        <v>16750</v>
      </c>
      <c r="F152" t="s">
        <v>305</v>
      </c>
      <c r="G152" s="9">
        <v>5.5708</v>
      </c>
      <c r="H152" s="4">
        <v>93310.9</v>
      </c>
      <c r="I152" t="s">
        <v>306</v>
      </c>
      <c r="J152" s="10">
        <v>46275</v>
      </c>
      <c r="K152" t="s">
        <v>389</v>
      </c>
      <c r="L152" t="s">
        <v>308</v>
      </c>
    </row>
    <row r="153" spans="1:12" x14ac:dyDescent="0.25">
      <c r="A153" t="s">
        <v>134</v>
      </c>
      <c r="B153" t="s">
        <v>309</v>
      </c>
      <c r="C153" t="s">
        <v>310</v>
      </c>
      <c r="E153" s="4">
        <v>1590</v>
      </c>
      <c r="F153" t="s">
        <v>305</v>
      </c>
      <c r="G153" s="9">
        <v>5.5708</v>
      </c>
      <c r="H153" s="4">
        <v>8857.572</v>
      </c>
      <c r="I153" t="s">
        <v>306</v>
      </c>
      <c r="J153" s="10">
        <v>46275</v>
      </c>
      <c r="K153" t="s">
        <v>389</v>
      </c>
      <c r="L153" t="s">
        <v>308</v>
      </c>
    </row>
    <row r="154" spans="1:12" x14ac:dyDescent="0.25">
      <c r="A154" t="s">
        <v>134</v>
      </c>
      <c r="B154" t="s">
        <v>311</v>
      </c>
      <c r="C154" t="s">
        <v>312</v>
      </c>
      <c r="E154" s="4">
        <v>159</v>
      </c>
      <c r="F154" t="s">
        <v>305</v>
      </c>
      <c r="G154" s="9">
        <v>5.5708</v>
      </c>
      <c r="H154" s="4">
        <v>885.757</v>
      </c>
      <c r="I154" t="s">
        <v>306</v>
      </c>
      <c r="J154" s="10">
        <v>46275</v>
      </c>
      <c r="L154" t="s">
        <v>308</v>
      </c>
    </row>
    <row r="155" spans="1:12" x14ac:dyDescent="0.25">
      <c r="A155" t="s">
        <v>134</v>
      </c>
      <c r="B155" t="s">
        <v>313</v>
      </c>
      <c r="C155" t="s">
        <v>314</v>
      </c>
      <c r="E155" s="4">
        <v>200</v>
      </c>
      <c r="F155" t="s">
        <v>305</v>
      </c>
      <c r="G155" s="9">
        <v>5.5708</v>
      </c>
      <c r="H155" s="4">
        <v>1114.16</v>
      </c>
      <c r="I155" t="s">
        <v>306</v>
      </c>
      <c r="J155" s="10">
        <v>46275</v>
      </c>
      <c r="L155" t="s">
        <v>308</v>
      </c>
    </row>
    <row r="156" spans="1:12" x14ac:dyDescent="0.25">
      <c r="A156" t="s">
        <v>134</v>
      </c>
      <c r="B156" t="s">
        <v>328</v>
      </c>
      <c r="C156" t="s">
        <v>350</v>
      </c>
      <c r="D156" t="s">
        <v>347</v>
      </c>
      <c r="E156" s="4">
        <v>727</v>
      </c>
      <c r="F156" t="s">
        <v>305</v>
      </c>
      <c r="G156" s="9">
        <v>5.5565</v>
      </c>
      <c r="H156" s="4">
        <v>4039.576</v>
      </c>
      <c r="I156" t="s">
        <v>306</v>
      </c>
      <c r="J156" s="10">
        <v>46277</v>
      </c>
      <c r="L156" t="s">
        <v>308</v>
      </c>
    </row>
    <row r="157" spans="1:12" x14ac:dyDescent="0.25">
      <c r="A157" t="s">
        <v>134</v>
      </c>
      <c r="B157" t="s">
        <v>338</v>
      </c>
      <c r="C157" t="s">
        <v>339</v>
      </c>
      <c r="D157" t="s">
        <v>340</v>
      </c>
      <c r="E157" s="4">
        <v>75</v>
      </c>
      <c r="F157" t="s">
        <v>305</v>
      </c>
      <c r="G157" s="9">
        <v>5.5689</v>
      </c>
      <c r="H157" s="4">
        <v>417.668</v>
      </c>
      <c r="I157" t="s">
        <v>306</v>
      </c>
      <c r="J157" s="10">
        <v>46281</v>
      </c>
      <c r="L157" t="s">
        <v>308</v>
      </c>
    </row>
    <row r="158" spans="1:12" x14ac:dyDescent="0.25">
      <c r="A158" t="s">
        <v>134</v>
      </c>
      <c r="B158" t="s">
        <v>30</v>
      </c>
      <c r="C158" t="s">
        <v>383</v>
      </c>
      <c r="D158" t="s">
        <v>352</v>
      </c>
      <c r="E158" s="4">
        <v>1040.75</v>
      </c>
      <c r="F158" t="s">
        <v>305</v>
      </c>
      <c r="G158" s="9">
        <v>5.5813</v>
      </c>
      <c r="H158" s="4">
        <v>5808.738</v>
      </c>
      <c r="I158" t="s">
        <v>306</v>
      </c>
      <c r="J158" s="10">
        <v>46287</v>
      </c>
      <c r="L158" t="s">
        <v>308</v>
      </c>
    </row>
    <row r="159" spans="1:12" x14ac:dyDescent="0.25">
      <c r="A159" t="s">
        <v>134</v>
      </c>
      <c r="B159" t="s">
        <v>353</v>
      </c>
      <c r="C159" t="s">
        <v>384</v>
      </c>
      <c r="D159" t="s">
        <v>340</v>
      </c>
      <c r="E159" s="4">
        <v>150</v>
      </c>
      <c r="F159" t="s">
        <v>305</v>
      </c>
      <c r="G159" s="9">
        <v>5.5813</v>
      </c>
      <c r="H159" s="4">
        <v>837.195</v>
      </c>
      <c r="I159" t="s">
        <v>306</v>
      </c>
      <c r="J159" s="10">
        <v>46287</v>
      </c>
      <c r="L159" t="s">
        <v>308</v>
      </c>
    </row>
    <row r="160" spans="1:12" x14ac:dyDescent="0.25">
      <c r="A160" t="s">
        <v>134</v>
      </c>
      <c r="B160" t="s">
        <v>355</v>
      </c>
      <c r="C160" t="s">
        <v>356</v>
      </c>
      <c r="D160" t="s">
        <v>357</v>
      </c>
      <c r="E160" s="4">
        <v>251.25</v>
      </c>
      <c r="F160" t="s">
        <v>305</v>
      </c>
      <c r="G160" s="9">
        <v>5.5813</v>
      </c>
      <c r="H160" s="4">
        <v>1402.302</v>
      </c>
      <c r="I160" t="s">
        <v>306</v>
      </c>
      <c r="J160" s="10">
        <v>46287</v>
      </c>
      <c r="L160" t="s">
        <v>308</v>
      </c>
    </row>
    <row r="161" spans="1:12" x14ac:dyDescent="0.25">
      <c r="A161" t="s">
        <v>134</v>
      </c>
      <c r="B161" t="s">
        <v>370</v>
      </c>
      <c r="C161" t="s">
        <v>371</v>
      </c>
      <c r="E161" s="4">
        <v>18425</v>
      </c>
      <c r="F161" t="s">
        <v>372</v>
      </c>
      <c r="G161" s="9">
        <v>1</v>
      </c>
      <c r="H161" s="4">
        <v>18425</v>
      </c>
      <c r="I161" t="s">
        <v>373</v>
      </c>
      <c r="J161" s="10">
        <v>46310</v>
      </c>
      <c r="L161" t="s">
        <v>315</v>
      </c>
    </row>
    <row r="162" spans="1:12" x14ac:dyDescent="0.25">
      <c r="A162" t="s">
        <v>138</v>
      </c>
      <c r="B162" t="s">
        <v>303</v>
      </c>
      <c r="C162" t="s">
        <v>390</v>
      </c>
      <c r="E162" s="4">
        <v>13200</v>
      </c>
      <c r="F162" t="s">
        <v>305</v>
      </c>
      <c r="G162" s="9">
        <v>5.5565</v>
      </c>
      <c r="H162" s="4">
        <v>73345.8</v>
      </c>
      <c r="I162" t="s">
        <v>306</v>
      </c>
      <c r="J162" s="10">
        <v>46277</v>
      </c>
      <c r="K162" t="s">
        <v>391</v>
      </c>
      <c r="L162" t="s">
        <v>308</v>
      </c>
    </row>
    <row r="163" spans="1:12" x14ac:dyDescent="0.25">
      <c r="A163" t="s">
        <v>138</v>
      </c>
      <c r="B163" t="s">
        <v>309</v>
      </c>
      <c r="C163" t="s">
        <v>310</v>
      </c>
      <c r="E163" s="4">
        <v>1306</v>
      </c>
      <c r="F163" t="s">
        <v>305</v>
      </c>
      <c r="G163" s="9">
        <v>5.5565</v>
      </c>
      <c r="H163" s="4">
        <v>7256.789</v>
      </c>
      <c r="I163" t="s">
        <v>306</v>
      </c>
      <c r="J163" s="10">
        <v>46277</v>
      </c>
      <c r="K163" t="s">
        <v>391</v>
      </c>
      <c r="L163" t="s">
        <v>308</v>
      </c>
    </row>
    <row r="164" spans="1:12" x14ac:dyDescent="0.25">
      <c r="A164" t="s">
        <v>138</v>
      </c>
      <c r="B164" t="s">
        <v>311</v>
      </c>
      <c r="C164" t="s">
        <v>312</v>
      </c>
      <c r="E164" s="4">
        <v>159</v>
      </c>
      <c r="F164" t="s">
        <v>305</v>
      </c>
      <c r="G164" s="9">
        <v>5.5565</v>
      </c>
      <c r="H164" s="4">
        <v>883.484</v>
      </c>
      <c r="I164" t="s">
        <v>306</v>
      </c>
      <c r="J164" s="10">
        <v>46277</v>
      </c>
      <c r="L164" t="s">
        <v>308</v>
      </c>
    </row>
    <row r="165" spans="1:12" x14ac:dyDescent="0.25">
      <c r="A165" t="s">
        <v>138</v>
      </c>
      <c r="B165" t="s">
        <v>313</v>
      </c>
      <c r="C165" t="s">
        <v>314</v>
      </c>
      <c r="E165" s="4">
        <v>200</v>
      </c>
      <c r="F165" t="s">
        <v>305</v>
      </c>
      <c r="G165" s="9">
        <v>5.5565</v>
      </c>
      <c r="H165" s="4">
        <v>1111.3</v>
      </c>
      <c r="I165" t="s">
        <v>306</v>
      </c>
      <c r="J165" s="10">
        <v>46277</v>
      </c>
      <c r="L165" t="s">
        <v>308</v>
      </c>
    </row>
    <row r="166" spans="1:12" x14ac:dyDescent="0.25">
      <c r="A166" t="s">
        <v>138</v>
      </c>
      <c r="B166" t="s">
        <v>328</v>
      </c>
      <c r="C166" t="s">
        <v>343</v>
      </c>
      <c r="D166" t="s">
        <v>330</v>
      </c>
      <c r="E166" s="4">
        <v>822</v>
      </c>
      <c r="F166" t="s">
        <v>305</v>
      </c>
      <c r="G166" s="9">
        <v>5.5612</v>
      </c>
      <c r="H166" s="4">
        <v>4571.306</v>
      </c>
      <c r="I166" t="s">
        <v>306</v>
      </c>
      <c r="J166" s="10">
        <v>46279</v>
      </c>
      <c r="L166" t="s">
        <v>308</v>
      </c>
    </row>
    <row r="167" spans="1:12" x14ac:dyDescent="0.25">
      <c r="A167" t="s">
        <v>138</v>
      </c>
      <c r="B167" t="s">
        <v>338</v>
      </c>
      <c r="C167" t="s">
        <v>339</v>
      </c>
      <c r="D167" t="s">
        <v>340</v>
      </c>
      <c r="E167" s="4">
        <v>75</v>
      </c>
      <c r="F167" t="s">
        <v>305</v>
      </c>
      <c r="G167" s="9">
        <v>5.5655</v>
      </c>
      <c r="H167" s="4">
        <v>417.413</v>
      </c>
      <c r="I167" t="s">
        <v>306</v>
      </c>
      <c r="J167" s="10">
        <v>46283</v>
      </c>
      <c r="L167" t="s">
        <v>308</v>
      </c>
    </row>
    <row r="168" spans="1:12" x14ac:dyDescent="0.25">
      <c r="A168" t="s">
        <v>138</v>
      </c>
      <c r="B168" t="s">
        <v>30</v>
      </c>
      <c r="C168" t="s">
        <v>383</v>
      </c>
      <c r="D168" t="s">
        <v>352</v>
      </c>
      <c r="E168" s="4">
        <v>1040.75</v>
      </c>
      <c r="F168" t="s">
        <v>305</v>
      </c>
      <c r="G168" s="9">
        <v>5.5813</v>
      </c>
      <c r="H168" s="4">
        <v>5808.738</v>
      </c>
      <c r="I168" t="s">
        <v>306</v>
      </c>
      <c r="J168" s="10">
        <v>46287</v>
      </c>
      <c r="L168" t="s">
        <v>308</v>
      </c>
    </row>
    <row r="169" spans="1:12" x14ac:dyDescent="0.25">
      <c r="A169" t="s">
        <v>138</v>
      </c>
      <c r="B169" t="s">
        <v>353</v>
      </c>
      <c r="C169" t="s">
        <v>384</v>
      </c>
      <c r="D169" t="s">
        <v>340</v>
      </c>
      <c r="E169" s="4">
        <v>150</v>
      </c>
      <c r="F169" t="s">
        <v>305</v>
      </c>
      <c r="G169" s="9">
        <v>5.5813</v>
      </c>
      <c r="H169" s="4">
        <v>837.195</v>
      </c>
      <c r="I169" t="s">
        <v>306</v>
      </c>
      <c r="J169" s="10">
        <v>46287</v>
      </c>
      <c r="L169" t="s">
        <v>308</v>
      </c>
    </row>
    <row r="170" spans="1:12" x14ac:dyDescent="0.25">
      <c r="A170" t="s">
        <v>138</v>
      </c>
      <c r="B170" t="s">
        <v>355</v>
      </c>
      <c r="C170" t="s">
        <v>356</v>
      </c>
      <c r="D170" t="s">
        <v>357</v>
      </c>
      <c r="E170" s="4">
        <v>198</v>
      </c>
      <c r="F170" t="s">
        <v>305</v>
      </c>
      <c r="G170" s="9">
        <v>5.5813</v>
      </c>
      <c r="H170" s="4">
        <v>1105.097</v>
      </c>
      <c r="I170" t="s">
        <v>306</v>
      </c>
      <c r="J170" s="10">
        <v>46287</v>
      </c>
      <c r="L170" t="s">
        <v>308</v>
      </c>
    </row>
    <row r="171" spans="1:12" x14ac:dyDescent="0.25">
      <c r="A171" t="s">
        <v>138</v>
      </c>
      <c r="B171" t="s">
        <v>370</v>
      </c>
      <c r="C171" t="s">
        <v>371</v>
      </c>
      <c r="E171" s="4">
        <v>14520</v>
      </c>
      <c r="F171" t="s">
        <v>372</v>
      </c>
      <c r="G171" s="9">
        <v>1</v>
      </c>
      <c r="H171" s="4">
        <v>14520</v>
      </c>
      <c r="I171" t="s">
        <v>373</v>
      </c>
      <c r="J171" s="10">
        <v>46310</v>
      </c>
      <c r="L171" t="s">
        <v>315</v>
      </c>
    </row>
    <row r="172" spans="1:12" x14ac:dyDescent="0.25">
      <c r="A172" t="s">
        <v>141</v>
      </c>
      <c r="B172" t="s">
        <v>303</v>
      </c>
      <c r="C172" t="s">
        <v>392</v>
      </c>
      <c r="E172" s="4">
        <v>7500</v>
      </c>
      <c r="F172" t="s">
        <v>305</v>
      </c>
      <c r="G172" s="9">
        <v>5.5748</v>
      </c>
      <c r="H172" s="4">
        <v>41811</v>
      </c>
      <c r="I172" t="s">
        <v>306</v>
      </c>
      <c r="J172" s="10">
        <v>46272</v>
      </c>
      <c r="K172" t="s">
        <v>393</v>
      </c>
      <c r="L172" t="s">
        <v>308</v>
      </c>
    </row>
    <row r="173" spans="1:12" x14ac:dyDescent="0.25">
      <c r="A173" t="s">
        <v>141</v>
      </c>
      <c r="B173" t="s">
        <v>309</v>
      </c>
      <c r="C173" t="s">
        <v>310</v>
      </c>
      <c r="E173" s="4">
        <v>850</v>
      </c>
      <c r="F173" t="s">
        <v>305</v>
      </c>
      <c r="G173" s="9">
        <v>5.5748</v>
      </c>
      <c r="H173" s="4">
        <v>4738.58</v>
      </c>
      <c r="I173" t="s">
        <v>306</v>
      </c>
      <c r="J173" s="10">
        <v>46272</v>
      </c>
      <c r="K173" t="s">
        <v>393</v>
      </c>
      <c r="L173" t="s">
        <v>308</v>
      </c>
    </row>
    <row r="174" spans="1:12" x14ac:dyDescent="0.25">
      <c r="A174" t="s">
        <v>141</v>
      </c>
      <c r="B174" t="s">
        <v>311</v>
      </c>
      <c r="C174" t="s">
        <v>312</v>
      </c>
      <c r="E174" s="4">
        <v>135</v>
      </c>
      <c r="F174" t="s">
        <v>305</v>
      </c>
      <c r="G174" s="9">
        <v>5.5748</v>
      </c>
      <c r="H174" s="4">
        <v>752.598</v>
      </c>
      <c r="I174" t="s">
        <v>306</v>
      </c>
      <c r="J174" s="10">
        <v>46272</v>
      </c>
      <c r="L174" t="s">
        <v>308</v>
      </c>
    </row>
    <row r="175" spans="1:12" x14ac:dyDescent="0.25">
      <c r="A175" t="s">
        <v>141</v>
      </c>
      <c r="B175" t="s">
        <v>313</v>
      </c>
      <c r="C175" t="s">
        <v>314</v>
      </c>
      <c r="E175" s="4">
        <v>200</v>
      </c>
      <c r="F175" t="s">
        <v>305</v>
      </c>
      <c r="G175" s="9">
        <v>5.5748</v>
      </c>
      <c r="H175" s="4">
        <v>1114.96</v>
      </c>
      <c r="I175" t="s">
        <v>306</v>
      </c>
      <c r="J175" s="10">
        <v>46272</v>
      </c>
      <c r="L175" t="s">
        <v>308</v>
      </c>
    </row>
    <row r="176" spans="1:12" x14ac:dyDescent="0.25">
      <c r="A176" t="s">
        <v>141</v>
      </c>
      <c r="B176" t="s">
        <v>328</v>
      </c>
      <c r="C176" t="s">
        <v>394</v>
      </c>
      <c r="D176" t="s">
        <v>330</v>
      </c>
      <c r="E176" s="4">
        <v>613</v>
      </c>
      <c r="F176" t="s">
        <v>305</v>
      </c>
      <c r="G176" s="9">
        <v>5.5723</v>
      </c>
      <c r="H176" s="4">
        <v>3415.82</v>
      </c>
      <c r="I176" t="s">
        <v>306</v>
      </c>
      <c r="J176" s="10">
        <v>46274</v>
      </c>
      <c r="L176" t="s">
        <v>308</v>
      </c>
    </row>
    <row r="177" spans="1:12" x14ac:dyDescent="0.25">
      <c r="A177" t="s">
        <v>141</v>
      </c>
      <c r="B177" t="s">
        <v>336</v>
      </c>
      <c r="C177" t="s">
        <v>337</v>
      </c>
      <c r="E177" s="4">
        <v>84</v>
      </c>
      <c r="F177" t="s">
        <v>305</v>
      </c>
      <c r="G177" s="9">
        <v>5.5654</v>
      </c>
      <c r="H177" s="4">
        <v>467.494</v>
      </c>
      <c r="I177" t="s">
        <v>306</v>
      </c>
      <c r="J177" s="10">
        <v>46276</v>
      </c>
      <c r="L177" t="s">
        <v>308</v>
      </c>
    </row>
    <row r="178" spans="1:12" x14ac:dyDescent="0.25">
      <c r="A178" t="s">
        <v>141</v>
      </c>
      <c r="B178" t="s">
        <v>338</v>
      </c>
      <c r="C178" t="s">
        <v>339</v>
      </c>
      <c r="D178" t="s">
        <v>340</v>
      </c>
      <c r="E178" s="4">
        <v>75</v>
      </c>
      <c r="F178" t="s">
        <v>305</v>
      </c>
      <c r="G178" s="9">
        <v>5.5517</v>
      </c>
      <c r="H178" s="4">
        <v>416.378</v>
      </c>
      <c r="I178" t="s">
        <v>306</v>
      </c>
      <c r="J178" s="10">
        <v>46278</v>
      </c>
      <c r="L178" t="s">
        <v>308</v>
      </c>
    </row>
    <row r="179" spans="1:12" x14ac:dyDescent="0.25">
      <c r="A179" t="s">
        <v>141</v>
      </c>
      <c r="B179" t="s">
        <v>30</v>
      </c>
      <c r="C179" t="s">
        <v>395</v>
      </c>
      <c r="D179" t="s">
        <v>396</v>
      </c>
      <c r="E179" s="4">
        <v>1034.75</v>
      </c>
      <c r="F179" t="s">
        <v>305</v>
      </c>
      <c r="G179" s="9">
        <v>5.5689</v>
      </c>
      <c r="H179" s="4">
        <v>5762.419</v>
      </c>
      <c r="I179" t="s">
        <v>306</v>
      </c>
      <c r="J179" s="10">
        <v>46281</v>
      </c>
      <c r="L179" t="s">
        <v>308</v>
      </c>
    </row>
    <row r="180" spans="1:12" x14ac:dyDescent="0.25">
      <c r="A180" t="s">
        <v>141</v>
      </c>
      <c r="B180" t="s">
        <v>353</v>
      </c>
      <c r="C180" t="s">
        <v>397</v>
      </c>
      <c r="D180" t="s">
        <v>340</v>
      </c>
      <c r="E180" s="4">
        <v>150</v>
      </c>
      <c r="F180" t="s">
        <v>305</v>
      </c>
      <c r="G180" s="9">
        <v>5.5689</v>
      </c>
      <c r="H180" s="4">
        <v>835.335</v>
      </c>
      <c r="I180" t="s">
        <v>306</v>
      </c>
      <c r="J180" s="10">
        <v>46281</v>
      </c>
      <c r="L180" t="s">
        <v>308</v>
      </c>
    </row>
    <row r="181" spans="1:12" x14ac:dyDescent="0.25">
      <c r="A181" t="s">
        <v>141</v>
      </c>
      <c r="B181" t="s">
        <v>355</v>
      </c>
      <c r="C181" t="s">
        <v>356</v>
      </c>
      <c r="D181" t="s">
        <v>357</v>
      </c>
      <c r="E181" s="4">
        <v>112.5</v>
      </c>
      <c r="F181" t="s">
        <v>305</v>
      </c>
      <c r="G181" s="9">
        <v>5.5689</v>
      </c>
      <c r="H181" s="4">
        <v>626.501</v>
      </c>
      <c r="I181" t="s">
        <v>306</v>
      </c>
      <c r="J181" s="10">
        <v>46281</v>
      </c>
      <c r="L181" t="s">
        <v>308</v>
      </c>
    </row>
    <row r="182" spans="1:12" x14ac:dyDescent="0.25">
      <c r="A182" t="s">
        <v>141</v>
      </c>
      <c r="B182" t="s">
        <v>398</v>
      </c>
      <c r="C182" t="s">
        <v>399</v>
      </c>
      <c r="D182" t="s">
        <v>400</v>
      </c>
      <c r="E182" s="4">
        <v>555</v>
      </c>
      <c r="F182" t="s">
        <v>372</v>
      </c>
      <c r="G182" s="9">
        <v>1</v>
      </c>
      <c r="H182" s="4">
        <v>555</v>
      </c>
      <c r="I182" t="s">
        <v>306</v>
      </c>
      <c r="J182" s="10">
        <v>46317</v>
      </c>
      <c r="L182" t="s">
        <v>315</v>
      </c>
    </row>
    <row r="183" spans="1:12" x14ac:dyDescent="0.25">
      <c r="A183" t="s">
        <v>147</v>
      </c>
      <c r="B183" t="s">
        <v>303</v>
      </c>
      <c r="C183" t="s">
        <v>401</v>
      </c>
      <c r="E183" s="4">
        <v>11300</v>
      </c>
      <c r="F183" t="s">
        <v>305</v>
      </c>
      <c r="G183" s="9">
        <v>5.5783</v>
      </c>
      <c r="H183" s="4">
        <v>63034.79</v>
      </c>
      <c r="I183" t="s">
        <v>306</v>
      </c>
      <c r="J183" s="10">
        <v>46269</v>
      </c>
      <c r="K183" t="s">
        <v>402</v>
      </c>
      <c r="L183" t="s">
        <v>308</v>
      </c>
    </row>
    <row r="184" spans="1:12" x14ac:dyDescent="0.25">
      <c r="A184" t="s">
        <v>147</v>
      </c>
      <c r="B184" t="s">
        <v>309</v>
      </c>
      <c r="C184" t="s">
        <v>310</v>
      </c>
      <c r="E184" s="4">
        <v>1154</v>
      </c>
      <c r="F184" t="s">
        <v>305</v>
      </c>
      <c r="G184" s="9">
        <v>5.5783</v>
      </c>
      <c r="H184" s="4">
        <v>6437.358</v>
      </c>
      <c r="I184" t="s">
        <v>306</v>
      </c>
      <c r="J184" s="10">
        <v>46269</v>
      </c>
      <c r="K184" t="s">
        <v>402</v>
      </c>
      <c r="L184" t="s">
        <v>308</v>
      </c>
    </row>
    <row r="185" spans="1:12" x14ac:dyDescent="0.25">
      <c r="A185" t="s">
        <v>147</v>
      </c>
      <c r="B185" t="s">
        <v>311</v>
      </c>
      <c r="C185" t="s">
        <v>312</v>
      </c>
      <c r="E185" s="4">
        <v>135</v>
      </c>
      <c r="F185" t="s">
        <v>305</v>
      </c>
      <c r="G185" s="9">
        <v>5.5783</v>
      </c>
      <c r="H185" s="4">
        <v>753.071</v>
      </c>
      <c r="I185" t="s">
        <v>306</v>
      </c>
      <c r="J185" s="10">
        <v>46269</v>
      </c>
      <c r="L185" t="s">
        <v>308</v>
      </c>
    </row>
    <row r="186" spans="1:12" x14ac:dyDescent="0.25">
      <c r="A186" t="s">
        <v>147</v>
      </c>
      <c r="B186" t="s">
        <v>313</v>
      </c>
      <c r="C186" t="s">
        <v>314</v>
      </c>
      <c r="E186" s="4">
        <v>200</v>
      </c>
      <c r="F186" t="s">
        <v>305</v>
      </c>
      <c r="G186" s="9">
        <v>5.5783</v>
      </c>
      <c r="H186" s="4">
        <v>1115.66</v>
      </c>
      <c r="I186" t="s">
        <v>306</v>
      </c>
      <c r="J186" s="10">
        <v>46269</v>
      </c>
      <c r="L186" t="s">
        <v>308</v>
      </c>
    </row>
    <row r="187" spans="1:12" x14ac:dyDescent="0.25">
      <c r="A187" t="s">
        <v>147</v>
      </c>
      <c r="B187" t="s">
        <v>328</v>
      </c>
      <c r="C187" t="s">
        <v>346</v>
      </c>
      <c r="D187" t="s">
        <v>347</v>
      </c>
      <c r="E187" s="4">
        <v>496</v>
      </c>
      <c r="F187" t="s">
        <v>305</v>
      </c>
      <c r="G187" s="9">
        <v>5.5696</v>
      </c>
      <c r="H187" s="4">
        <v>2762.522</v>
      </c>
      <c r="I187" t="s">
        <v>306</v>
      </c>
      <c r="J187" s="10">
        <v>46271</v>
      </c>
      <c r="L187" t="s">
        <v>308</v>
      </c>
    </row>
    <row r="188" spans="1:12" x14ac:dyDescent="0.25">
      <c r="A188" t="s">
        <v>147</v>
      </c>
      <c r="B188" t="s">
        <v>338</v>
      </c>
      <c r="C188" t="s">
        <v>339</v>
      </c>
      <c r="D188" t="s">
        <v>340</v>
      </c>
      <c r="E188" s="4">
        <v>75</v>
      </c>
      <c r="F188" t="s">
        <v>305</v>
      </c>
      <c r="G188" s="9">
        <v>5.5708</v>
      </c>
      <c r="H188" s="4">
        <v>417.81</v>
      </c>
      <c r="I188" t="s">
        <v>306</v>
      </c>
      <c r="J188" s="10">
        <v>46275</v>
      </c>
      <c r="L188" t="s">
        <v>308</v>
      </c>
    </row>
    <row r="189" spans="1:12" x14ac:dyDescent="0.25">
      <c r="A189" t="s">
        <v>147</v>
      </c>
      <c r="B189" t="s">
        <v>30</v>
      </c>
      <c r="C189" t="s">
        <v>395</v>
      </c>
      <c r="D189" t="s">
        <v>396</v>
      </c>
      <c r="E189" s="4">
        <v>1034.75</v>
      </c>
      <c r="F189" t="s">
        <v>305</v>
      </c>
      <c r="G189" s="9">
        <v>5.5689</v>
      </c>
      <c r="H189" s="4">
        <v>5762.419</v>
      </c>
      <c r="I189" t="s">
        <v>306</v>
      </c>
      <c r="J189" s="10">
        <v>46281</v>
      </c>
      <c r="L189" t="s">
        <v>308</v>
      </c>
    </row>
    <row r="190" spans="1:12" x14ac:dyDescent="0.25">
      <c r="A190" t="s">
        <v>147</v>
      </c>
      <c r="B190" t="s">
        <v>353</v>
      </c>
      <c r="C190" t="s">
        <v>397</v>
      </c>
      <c r="D190" t="s">
        <v>340</v>
      </c>
      <c r="E190" s="4">
        <v>150</v>
      </c>
      <c r="F190" t="s">
        <v>305</v>
      </c>
      <c r="G190" s="9">
        <v>5.5689</v>
      </c>
      <c r="H190" s="4">
        <v>835.335</v>
      </c>
      <c r="I190" t="s">
        <v>306</v>
      </c>
      <c r="J190" s="10">
        <v>46281</v>
      </c>
      <c r="L190" t="s">
        <v>308</v>
      </c>
    </row>
    <row r="191" spans="1:12" x14ac:dyDescent="0.25">
      <c r="A191" t="s">
        <v>147</v>
      </c>
      <c r="B191" t="s">
        <v>355</v>
      </c>
      <c r="C191" t="s">
        <v>356</v>
      </c>
      <c r="D191" t="s">
        <v>357</v>
      </c>
      <c r="E191" s="4">
        <v>169.5</v>
      </c>
      <c r="F191" t="s">
        <v>305</v>
      </c>
      <c r="G191" s="9">
        <v>5.5689</v>
      </c>
      <c r="H191" s="4">
        <v>943.929</v>
      </c>
      <c r="I191" t="s">
        <v>306</v>
      </c>
      <c r="J191" s="10">
        <v>46281</v>
      </c>
      <c r="L191" t="s">
        <v>308</v>
      </c>
    </row>
    <row r="192" spans="1:12" x14ac:dyDescent="0.25">
      <c r="A192" t="s">
        <v>147</v>
      </c>
      <c r="B192" t="s">
        <v>398</v>
      </c>
      <c r="C192" t="s">
        <v>399</v>
      </c>
      <c r="D192" t="s">
        <v>400</v>
      </c>
      <c r="E192" s="4">
        <v>683</v>
      </c>
      <c r="F192" t="s">
        <v>372</v>
      </c>
      <c r="G192" s="9">
        <v>1</v>
      </c>
      <c r="H192" s="4">
        <v>683</v>
      </c>
      <c r="I192" t="s">
        <v>306</v>
      </c>
      <c r="J192" s="10">
        <v>46314</v>
      </c>
      <c r="L192" t="s">
        <v>315</v>
      </c>
    </row>
    <row r="193" spans="1:12" x14ac:dyDescent="0.25">
      <c r="A193" t="s">
        <v>151</v>
      </c>
      <c r="B193" t="s">
        <v>303</v>
      </c>
      <c r="C193" t="s">
        <v>403</v>
      </c>
      <c r="E193" s="4">
        <v>26475</v>
      </c>
      <c r="F193" t="s">
        <v>305</v>
      </c>
      <c r="G193" s="9">
        <v>5.5748</v>
      </c>
      <c r="H193" s="4">
        <v>147592.83</v>
      </c>
      <c r="I193" t="s">
        <v>306</v>
      </c>
      <c r="J193" s="10">
        <v>46272</v>
      </c>
      <c r="K193" t="s">
        <v>404</v>
      </c>
      <c r="L193" t="s">
        <v>308</v>
      </c>
    </row>
    <row r="194" spans="1:12" x14ac:dyDescent="0.25">
      <c r="A194" t="s">
        <v>151</v>
      </c>
      <c r="B194" t="s">
        <v>309</v>
      </c>
      <c r="C194" t="s">
        <v>310</v>
      </c>
      <c r="E194" s="4">
        <v>2368</v>
      </c>
      <c r="F194" t="s">
        <v>305</v>
      </c>
      <c r="G194" s="9">
        <v>5.5748</v>
      </c>
      <c r="H194" s="4">
        <v>13201.126</v>
      </c>
      <c r="I194" t="s">
        <v>306</v>
      </c>
      <c r="J194" s="10">
        <v>46272</v>
      </c>
      <c r="K194" t="s">
        <v>404</v>
      </c>
      <c r="L194" t="s">
        <v>308</v>
      </c>
    </row>
    <row r="195" spans="1:12" x14ac:dyDescent="0.25">
      <c r="A195" t="s">
        <v>151</v>
      </c>
      <c r="B195" t="s">
        <v>311</v>
      </c>
      <c r="C195" t="s">
        <v>312</v>
      </c>
      <c r="E195" s="4">
        <v>135</v>
      </c>
      <c r="F195" t="s">
        <v>305</v>
      </c>
      <c r="G195" s="9">
        <v>5.5748</v>
      </c>
      <c r="H195" s="4">
        <v>752.598</v>
      </c>
      <c r="I195" t="s">
        <v>306</v>
      </c>
      <c r="J195" s="10">
        <v>46272</v>
      </c>
      <c r="L195" t="s">
        <v>308</v>
      </c>
    </row>
    <row r="196" spans="1:12" x14ac:dyDescent="0.25">
      <c r="A196" t="s">
        <v>151</v>
      </c>
      <c r="B196" t="s">
        <v>313</v>
      </c>
      <c r="C196" t="s">
        <v>314</v>
      </c>
      <c r="E196" s="4">
        <v>200</v>
      </c>
      <c r="F196" t="s">
        <v>305</v>
      </c>
      <c r="G196" s="9">
        <v>5.5748</v>
      </c>
      <c r="H196" s="4">
        <v>1114.96</v>
      </c>
      <c r="I196" t="s">
        <v>306</v>
      </c>
      <c r="J196" s="10">
        <v>46272</v>
      </c>
      <c r="L196" t="s">
        <v>308</v>
      </c>
    </row>
    <row r="197" spans="1:12" x14ac:dyDescent="0.25">
      <c r="A197" t="s">
        <v>151</v>
      </c>
      <c r="B197" t="s">
        <v>328</v>
      </c>
      <c r="C197" t="s">
        <v>335</v>
      </c>
      <c r="D197" t="s">
        <v>330</v>
      </c>
      <c r="E197" s="4">
        <v>675</v>
      </c>
      <c r="F197" t="s">
        <v>305</v>
      </c>
      <c r="G197" s="9">
        <v>5.5723</v>
      </c>
      <c r="H197" s="4">
        <v>3761.303</v>
      </c>
      <c r="I197" t="s">
        <v>306</v>
      </c>
      <c r="J197" s="10">
        <v>46274</v>
      </c>
      <c r="L197" t="s">
        <v>308</v>
      </c>
    </row>
    <row r="198" spans="1:12" x14ac:dyDescent="0.25">
      <c r="A198" t="s">
        <v>151</v>
      </c>
      <c r="B198" t="s">
        <v>338</v>
      </c>
      <c r="C198" t="s">
        <v>339</v>
      </c>
      <c r="D198" t="s">
        <v>340</v>
      </c>
      <c r="E198" s="4">
        <v>75</v>
      </c>
      <c r="F198" t="s">
        <v>305</v>
      </c>
      <c r="G198" s="9">
        <v>5.5517</v>
      </c>
      <c r="H198" s="4">
        <v>416.378</v>
      </c>
      <c r="I198" t="s">
        <v>306</v>
      </c>
      <c r="J198" s="10">
        <v>46278</v>
      </c>
      <c r="L198" t="s">
        <v>308</v>
      </c>
    </row>
    <row r="199" spans="1:12" x14ac:dyDescent="0.25">
      <c r="A199" t="s">
        <v>151</v>
      </c>
      <c r="B199" t="s">
        <v>30</v>
      </c>
      <c r="C199" t="s">
        <v>395</v>
      </c>
      <c r="D199" t="s">
        <v>396</v>
      </c>
      <c r="E199" s="4">
        <v>1034.75</v>
      </c>
      <c r="F199" t="s">
        <v>305</v>
      </c>
      <c r="G199" s="9">
        <v>5.5689</v>
      </c>
      <c r="H199" s="4">
        <v>5762.419</v>
      </c>
      <c r="I199" t="s">
        <v>306</v>
      </c>
      <c r="J199" s="10">
        <v>46281</v>
      </c>
      <c r="L199" t="s">
        <v>308</v>
      </c>
    </row>
    <row r="200" spans="1:12" x14ac:dyDescent="0.25">
      <c r="A200" t="s">
        <v>151</v>
      </c>
      <c r="B200" t="s">
        <v>353</v>
      </c>
      <c r="C200" t="s">
        <v>397</v>
      </c>
      <c r="D200" t="s">
        <v>340</v>
      </c>
      <c r="E200" s="4">
        <v>150</v>
      </c>
      <c r="F200" t="s">
        <v>305</v>
      </c>
      <c r="G200" s="9">
        <v>5.5689</v>
      </c>
      <c r="H200" s="4">
        <v>835.335</v>
      </c>
      <c r="I200" t="s">
        <v>306</v>
      </c>
      <c r="J200" s="10">
        <v>46281</v>
      </c>
      <c r="L200" t="s">
        <v>308</v>
      </c>
    </row>
    <row r="201" spans="1:12" x14ac:dyDescent="0.25">
      <c r="A201" t="s">
        <v>151</v>
      </c>
      <c r="B201" t="s">
        <v>355</v>
      </c>
      <c r="C201" t="s">
        <v>356</v>
      </c>
      <c r="D201" t="s">
        <v>357</v>
      </c>
      <c r="E201" s="4">
        <v>397.125</v>
      </c>
      <c r="F201" t="s">
        <v>305</v>
      </c>
      <c r="G201" s="9">
        <v>5.5689</v>
      </c>
      <c r="H201" s="4">
        <v>2211.549</v>
      </c>
      <c r="I201" t="s">
        <v>306</v>
      </c>
      <c r="J201" s="10">
        <v>46281</v>
      </c>
      <c r="L201" t="s">
        <v>308</v>
      </c>
    </row>
    <row r="202" spans="1:12" x14ac:dyDescent="0.25">
      <c r="A202" t="s">
        <v>151</v>
      </c>
      <c r="B202" t="s">
        <v>398</v>
      </c>
      <c r="C202" t="s">
        <v>399</v>
      </c>
      <c r="D202" t="s">
        <v>400</v>
      </c>
      <c r="E202" s="4">
        <v>636</v>
      </c>
      <c r="F202" t="s">
        <v>372</v>
      </c>
      <c r="G202" s="9">
        <v>1</v>
      </c>
      <c r="H202" s="4">
        <v>636</v>
      </c>
      <c r="I202" t="s">
        <v>306</v>
      </c>
      <c r="J202" s="10">
        <v>46317</v>
      </c>
      <c r="L202" t="s">
        <v>315</v>
      </c>
    </row>
    <row r="203" spans="1:12" x14ac:dyDescent="0.25">
      <c r="A203" t="s">
        <v>155</v>
      </c>
      <c r="B203" t="s">
        <v>303</v>
      </c>
      <c r="C203" t="s">
        <v>405</v>
      </c>
      <c r="E203" s="4">
        <v>10225</v>
      </c>
      <c r="F203" t="s">
        <v>305</v>
      </c>
      <c r="G203" s="9">
        <v>5.5748</v>
      </c>
      <c r="H203" s="4">
        <v>57002.33</v>
      </c>
      <c r="I203" t="s">
        <v>306</v>
      </c>
      <c r="J203" s="10">
        <v>46272</v>
      </c>
      <c r="K203" t="s">
        <v>406</v>
      </c>
      <c r="L203" t="s">
        <v>308</v>
      </c>
    </row>
    <row r="204" spans="1:12" x14ac:dyDescent="0.25">
      <c r="A204" t="s">
        <v>155</v>
      </c>
      <c r="B204" t="s">
        <v>309</v>
      </c>
      <c r="C204" t="s">
        <v>310</v>
      </c>
      <c r="E204" s="4">
        <v>1068</v>
      </c>
      <c r="F204" t="s">
        <v>305</v>
      </c>
      <c r="G204" s="9">
        <v>5.5748</v>
      </c>
      <c r="H204" s="4">
        <v>5953.886</v>
      </c>
      <c r="I204" t="s">
        <v>306</v>
      </c>
      <c r="J204" s="10">
        <v>46272</v>
      </c>
      <c r="K204" t="s">
        <v>406</v>
      </c>
      <c r="L204" t="s">
        <v>308</v>
      </c>
    </row>
    <row r="205" spans="1:12" x14ac:dyDescent="0.25">
      <c r="A205" t="s">
        <v>155</v>
      </c>
      <c r="B205" t="s">
        <v>311</v>
      </c>
      <c r="C205" t="s">
        <v>312</v>
      </c>
      <c r="E205" s="4">
        <v>159</v>
      </c>
      <c r="F205" t="s">
        <v>305</v>
      </c>
      <c r="G205" s="9">
        <v>5.5748</v>
      </c>
      <c r="H205" s="4">
        <v>886.393</v>
      </c>
      <c r="I205" t="s">
        <v>306</v>
      </c>
      <c r="J205" s="10">
        <v>46272</v>
      </c>
      <c r="L205" t="s">
        <v>308</v>
      </c>
    </row>
    <row r="206" spans="1:12" x14ac:dyDescent="0.25">
      <c r="A206" t="s">
        <v>155</v>
      </c>
      <c r="B206" t="s">
        <v>313</v>
      </c>
      <c r="C206" t="s">
        <v>314</v>
      </c>
      <c r="E206" s="4">
        <v>200</v>
      </c>
      <c r="F206" t="s">
        <v>305</v>
      </c>
      <c r="G206" s="9">
        <v>5.5748</v>
      </c>
      <c r="H206" s="4">
        <v>1114.96</v>
      </c>
      <c r="I206" t="s">
        <v>306</v>
      </c>
      <c r="J206" s="10">
        <v>46272</v>
      </c>
      <c r="L206" t="s">
        <v>308</v>
      </c>
    </row>
    <row r="207" spans="1:12" x14ac:dyDescent="0.25">
      <c r="A207" t="s">
        <v>155</v>
      </c>
      <c r="B207" t="s">
        <v>328</v>
      </c>
      <c r="C207" t="s">
        <v>394</v>
      </c>
      <c r="D207" t="s">
        <v>330</v>
      </c>
      <c r="E207" s="4">
        <v>271</v>
      </c>
      <c r="F207" t="s">
        <v>305</v>
      </c>
      <c r="G207" s="9">
        <v>5.5723</v>
      </c>
      <c r="H207" s="4">
        <v>1510.093</v>
      </c>
      <c r="I207" t="s">
        <v>306</v>
      </c>
      <c r="J207" s="10">
        <v>46274</v>
      </c>
      <c r="L207" t="s">
        <v>308</v>
      </c>
    </row>
    <row r="208" spans="1:12" x14ac:dyDescent="0.25">
      <c r="A208" t="s">
        <v>155</v>
      </c>
      <c r="B208" t="s">
        <v>338</v>
      </c>
      <c r="C208" t="s">
        <v>339</v>
      </c>
      <c r="D208" t="s">
        <v>340</v>
      </c>
      <c r="E208" s="4">
        <v>75</v>
      </c>
      <c r="F208" t="s">
        <v>305</v>
      </c>
      <c r="G208" s="9">
        <v>5.5517</v>
      </c>
      <c r="H208" s="4">
        <v>416.378</v>
      </c>
      <c r="I208" t="s">
        <v>306</v>
      </c>
      <c r="J208" s="10">
        <v>46278</v>
      </c>
      <c r="L208" t="s">
        <v>308</v>
      </c>
    </row>
    <row r="209" spans="1:12" x14ac:dyDescent="0.25">
      <c r="A209" t="s">
        <v>155</v>
      </c>
      <c r="B209" t="s">
        <v>30</v>
      </c>
      <c r="C209" t="s">
        <v>395</v>
      </c>
      <c r="D209" t="s">
        <v>396</v>
      </c>
      <c r="E209" s="4">
        <v>1034.75</v>
      </c>
      <c r="F209" t="s">
        <v>305</v>
      </c>
      <c r="G209" s="9">
        <v>5.5689</v>
      </c>
      <c r="H209" s="4">
        <v>5762.419</v>
      </c>
      <c r="I209" t="s">
        <v>306</v>
      </c>
      <c r="J209" s="10">
        <v>46281</v>
      </c>
      <c r="L209" t="s">
        <v>308</v>
      </c>
    </row>
    <row r="210" spans="1:12" x14ac:dyDescent="0.25">
      <c r="A210" t="s">
        <v>155</v>
      </c>
      <c r="B210" t="s">
        <v>353</v>
      </c>
      <c r="C210" t="s">
        <v>397</v>
      </c>
      <c r="D210" t="s">
        <v>340</v>
      </c>
      <c r="E210" s="4">
        <v>150</v>
      </c>
      <c r="F210" t="s">
        <v>305</v>
      </c>
      <c r="G210" s="9">
        <v>5.5689</v>
      </c>
      <c r="H210" s="4">
        <v>835.335</v>
      </c>
      <c r="I210" t="s">
        <v>306</v>
      </c>
      <c r="J210" s="10">
        <v>46281</v>
      </c>
      <c r="L210" t="s">
        <v>308</v>
      </c>
    </row>
    <row r="211" spans="1:12" x14ac:dyDescent="0.25">
      <c r="A211" t="s">
        <v>155</v>
      </c>
      <c r="B211" t="s">
        <v>355</v>
      </c>
      <c r="C211" t="s">
        <v>356</v>
      </c>
      <c r="D211" t="s">
        <v>357</v>
      </c>
      <c r="E211" s="4">
        <v>153.375</v>
      </c>
      <c r="F211" t="s">
        <v>305</v>
      </c>
      <c r="G211" s="9">
        <v>5.5689</v>
      </c>
      <c r="H211" s="4">
        <v>854.13</v>
      </c>
      <c r="I211" t="s">
        <v>306</v>
      </c>
      <c r="J211" s="10">
        <v>46281</v>
      </c>
      <c r="L211" t="s">
        <v>308</v>
      </c>
    </row>
    <row r="212" spans="1:12" x14ac:dyDescent="0.25">
      <c r="A212" t="s">
        <v>155</v>
      </c>
      <c r="B212" t="s">
        <v>398</v>
      </c>
      <c r="C212" t="s">
        <v>399</v>
      </c>
      <c r="D212" t="s">
        <v>400</v>
      </c>
      <c r="E212" s="4">
        <v>575</v>
      </c>
      <c r="F212" t="s">
        <v>372</v>
      </c>
      <c r="G212" s="9">
        <v>1</v>
      </c>
      <c r="H212" s="4">
        <v>575</v>
      </c>
      <c r="I212" t="s">
        <v>306</v>
      </c>
      <c r="J212" s="10">
        <v>46317</v>
      </c>
      <c r="L212" t="s">
        <v>315</v>
      </c>
    </row>
    <row r="213" spans="1:12" x14ac:dyDescent="0.25">
      <c r="A213" t="s">
        <v>159</v>
      </c>
      <c r="B213" t="s">
        <v>303</v>
      </c>
      <c r="C213" t="s">
        <v>407</v>
      </c>
      <c r="E213" s="4">
        <v>11575</v>
      </c>
      <c r="F213" t="s">
        <v>305</v>
      </c>
      <c r="G213" s="9">
        <v>5.5639</v>
      </c>
      <c r="H213" s="4">
        <v>64402.143</v>
      </c>
      <c r="I213" t="s">
        <v>306</v>
      </c>
      <c r="J213" s="10">
        <v>46265</v>
      </c>
      <c r="K213" t="s">
        <v>408</v>
      </c>
      <c r="L213" t="s">
        <v>308</v>
      </c>
    </row>
    <row r="214" spans="1:12" x14ac:dyDescent="0.25">
      <c r="A214" t="s">
        <v>159</v>
      </c>
      <c r="B214" t="s">
        <v>309</v>
      </c>
      <c r="C214" t="s">
        <v>310</v>
      </c>
      <c r="E214" s="4">
        <v>1176</v>
      </c>
      <c r="F214" t="s">
        <v>305</v>
      </c>
      <c r="G214" s="9">
        <v>5.5639</v>
      </c>
      <c r="H214" s="4">
        <v>6543.146</v>
      </c>
      <c r="I214" t="s">
        <v>306</v>
      </c>
      <c r="J214" s="10">
        <v>46265</v>
      </c>
      <c r="K214" t="s">
        <v>408</v>
      </c>
      <c r="L214" t="s">
        <v>308</v>
      </c>
    </row>
    <row r="215" spans="1:12" x14ac:dyDescent="0.25">
      <c r="A215" t="s">
        <v>159</v>
      </c>
      <c r="B215" t="s">
        <v>311</v>
      </c>
      <c r="C215" t="s">
        <v>312</v>
      </c>
      <c r="E215" s="4">
        <v>135</v>
      </c>
      <c r="F215" t="s">
        <v>305</v>
      </c>
      <c r="G215" s="9">
        <v>5.5639</v>
      </c>
      <c r="H215" s="4">
        <v>751.127</v>
      </c>
      <c r="I215" t="s">
        <v>306</v>
      </c>
      <c r="J215" s="10">
        <v>46265</v>
      </c>
      <c r="L215" t="s">
        <v>308</v>
      </c>
    </row>
    <row r="216" spans="1:12" x14ac:dyDescent="0.25">
      <c r="A216" t="s">
        <v>159</v>
      </c>
      <c r="B216" t="s">
        <v>313</v>
      </c>
      <c r="C216" t="s">
        <v>314</v>
      </c>
      <c r="E216" s="4">
        <v>200</v>
      </c>
      <c r="F216" t="s">
        <v>305</v>
      </c>
      <c r="G216" s="9">
        <v>5.5639</v>
      </c>
      <c r="H216" s="4">
        <v>1112.78</v>
      </c>
      <c r="I216" t="s">
        <v>306</v>
      </c>
      <c r="J216" s="10">
        <v>46265</v>
      </c>
      <c r="L216" t="s">
        <v>308</v>
      </c>
    </row>
    <row r="217" spans="1:12" x14ac:dyDescent="0.25">
      <c r="A217" t="s">
        <v>159</v>
      </c>
      <c r="B217" t="s">
        <v>328</v>
      </c>
      <c r="C217" t="s">
        <v>335</v>
      </c>
      <c r="D217" t="s">
        <v>330</v>
      </c>
      <c r="E217" s="4">
        <v>690</v>
      </c>
      <c r="F217" t="s">
        <v>305</v>
      </c>
      <c r="G217" s="9">
        <v>5.5718</v>
      </c>
      <c r="H217" s="4">
        <v>3844.542</v>
      </c>
      <c r="I217" t="s">
        <v>306</v>
      </c>
      <c r="J217" s="10">
        <v>46267</v>
      </c>
      <c r="L217" t="s">
        <v>308</v>
      </c>
    </row>
    <row r="218" spans="1:12" x14ac:dyDescent="0.25">
      <c r="A218" t="s">
        <v>159</v>
      </c>
      <c r="B218" t="s">
        <v>338</v>
      </c>
      <c r="C218" t="s">
        <v>339</v>
      </c>
      <c r="D218" t="s">
        <v>340</v>
      </c>
      <c r="E218" s="4">
        <v>75</v>
      </c>
      <c r="F218" t="s">
        <v>305</v>
      </c>
      <c r="G218" s="9">
        <v>5.5696</v>
      </c>
      <c r="H218" s="4">
        <v>417.72</v>
      </c>
      <c r="I218" t="s">
        <v>306</v>
      </c>
      <c r="J218" s="10">
        <v>46271</v>
      </c>
      <c r="L218" t="s">
        <v>308</v>
      </c>
    </row>
    <row r="219" spans="1:12" x14ac:dyDescent="0.25">
      <c r="A219" t="s">
        <v>159</v>
      </c>
      <c r="B219" t="s">
        <v>30</v>
      </c>
      <c r="C219" t="s">
        <v>409</v>
      </c>
      <c r="D219" t="s">
        <v>352</v>
      </c>
      <c r="E219" s="4">
        <v>1130.75</v>
      </c>
      <c r="F219" t="s">
        <v>305</v>
      </c>
      <c r="G219" s="9">
        <v>5.5708</v>
      </c>
      <c r="H219" s="4">
        <v>6299.182</v>
      </c>
      <c r="I219" t="s">
        <v>306</v>
      </c>
      <c r="J219" s="10">
        <v>46275</v>
      </c>
      <c r="L219" t="s">
        <v>308</v>
      </c>
    </row>
    <row r="220" spans="1:12" x14ac:dyDescent="0.25">
      <c r="A220" t="s">
        <v>159</v>
      </c>
      <c r="B220" t="s">
        <v>353</v>
      </c>
      <c r="C220" t="s">
        <v>410</v>
      </c>
      <c r="D220" t="s">
        <v>340</v>
      </c>
      <c r="E220" s="4">
        <v>150</v>
      </c>
      <c r="F220" t="s">
        <v>305</v>
      </c>
      <c r="G220" s="9">
        <v>5.5708</v>
      </c>
      <c r="H220" s="4">
        <v>835.62</v>
      </c>
      <c r="I220" t="s">
        <v>306</v>
      </c>
      <c r="J220" s="10">
        <v>46275</v>
      </c>
      <c r="L220" t="s">
        <v>308</v>
      </c>
    </row>
    <row r="221" spans="1:12" x14ac:dyDescent="0.25">
      <c r="A221" t="s">
        <v>159</v>
      </c>
      <c r="B221" t="s">
        <v>355</v>
      </c>
      <c r="C221" t="s">
        <v>356</v>
      </c>
      <c r="D221" t="s">
        <v>357</v>
      </c>
      <c r="E221" s="4">
        <v>173.625</v>
      </c>
      <c r="F221" t="s">
        <v>305</v>
      </c>
      <c r="G221" s="9">
        <v>5.5708</v>
      </c>
      <c r="H221" s="4">
        <v>967.23</v>
      </c>
      <c r="I221" t="s">
        <v>306</v>
      </c>
      <c r="J221" s="10">
        <v>46275</v>
      </c>
      <c r="L221" t="s">
        <v>308</v>
      </c>
    </row>
    <row r="222" spans="1:12" x14ac:dyDescent="0.25">
      <c r="A222" t="s">
        <v>159</v>
      </c>
      <c r="B222" t="s">
        <v>398</v>
      </c>
      <c r="C222" t="s">
        <v>399</v>
      </c>
      <c r="D222" t="s">
        <v>400</v>
      </c>
      <c r="E222" s="4">
        <v>798</v>
      </c>
      <c r="F222" t="s">
        <v>372</v>
      </c>
      <c r="G222" s="9">
        <v>1</v>
      </c>
      <c r="H222" s="4">
        <v>798</v>
      </c>
      <c r="I222" t="s">
        <v>306</v>
      </c>
      <c r="J222" s="10">
        <v>46310</v>
      </c>
      <c r="L222" t="s">
        <v>308</v>
      </c>
    </row>
    <row r="223" spans="1:12" x14ac:dyDescent="0.25">
      <c r="A223" t="s">
        <v>159</v>
      </c>
      <c r="B223" t="s">
        <v>370</v>
      </c>
      <c r="C223" t="s">
        <v>371</v>
      </c>
      <c r="E223" s="4">
        <v>12732.5</v>
      </c>
      <c r="F223" t="s">
        <v>372</v>
      </c>
      <c r="G223" s="9">
        <v>1</v>
      </c>
      <c r="H223" s="4">
        <v>12732.5</v>
      </c>
      <c r="I223" t="s">
        <v>373</v>
      </c>
      <c r="J223" s="10">
        <v>46310</v>
      </c>
      <c r="L223" t="s">
        <v>315</v>
      </c>
    </row>
    <row r="224" spans="1:12" x14ac:dyDescent="0.25">
      <c r="A224" t="s">
        <v>165</v>
      </c>
      <c r="B224" t="s">
        <v>303</v>
      </c>
      <c r="C224" t="s">
        <v>411</v>
      </c>
      <c r="E224" s="4">
        <v>10400</v>
      </c>
      <c r="F224" t="s">
        <v>305</v>
      </c>
      <c r="G224" s="9">
        <v>5.5642</v>
      </c>
      <c r="H224" s="4">
        <v>57867.68</v>
      </c>
      <c r="I224" t="s">
        <v>306</v>
      </c>
      <c r="J224" s="10">
        <v>46263</v>
      </c>
      <c r="K224" t="s">
        <v>412</v>
      </c>
      <c r="L224" t="s">
        <v>308</v>
      </c>
    </row>
    <row r="225" spans="1:12" x14ac:dyDescent="0.25">
      <c r="A225" t="s">
        <v>165</v>
      </c>
      <c r="B225" t="s">
        <v>309</v>
      </c>
      <c r="C225" t="s">
        <v>310</v>
      </c>
      <c r="E225" s="4">
        <v>1082</v>
      </c>
      <c r="F225" t="s">
        <v>305</v>
      </c>
      <c r="G225" s="9">
        <v>5.5642</v>
      </c>
      <c r="H225" s="4">
        <v>6020.464</v>
      </c>
      <c r="I225" t="s">
        <v>306</v>
      </c>
      <c r="J225" s="10">
        <v>46263</v>
      </c>
      <c r="K225" t="s">
        <v>412</v>
      </c>
      <c r="L225" t="s">
        <v>308</v>
      </c>
    </row>
    <row r="226" spans="1:12" x14ac:dyDescent="0.25">
      <c r="A226" t="s">
        <v>165</v>
      </c>
      <c r="B226" t="s">
        <v>311</v>
      </c>
      <c r="C226" t="s">
        <v>312</v>
      </c>
      <c r="E226" s="4">
        <v>159</v>
      </c>
      <c r="F226" t="s">
        <v>305</v>
      </c>
      <c r="G226" s="9">
        <v>5.5642</v>
      </c>
      <c r="H226" s="4">
        <v>884.708</v>
      </c>
      <c r="I226" t="s">
        <v>306</v>
      </c>
      <c r="J226" s="10">
        <v>46263</v>
      </c>
      <c r="L226" t="s">
        <v>308</v>
      </c>
    </row>
    <row r="227" spans="1:12" x14ac:dyDescent="0.25">
      <c r="A227" t="s">
        <v>165</v>
      </c>
      <c r="B227" t="s">
        <v>313</v>
      </c>
      <c r="C227" t="s">
        <v>314</v>
      </c>
      <c r="E227" s="4">
        <v>200</v>
      </c>
      <c r="F227" t="s">
        <v>305</v>
      </c>
      <c r="G227" s="9">
        <v>5.5642</v>
      </c>
      <c r="H227" s="4">
        <v>1112.84</v>
      </c>
      <c r="I227" t="s">
        <v>306</v>
      </c>
      <c r="J227" s="10">
        <v>46263</v>
      </c>
      <c r="L227" t="s">
        <v>308</v>
      </c>
    </row>
    <row r="228" spans="1:12" x14ac:dyDescent="0.25">
      <c r="A228" t="s">
        <v>165</v>
      </c>
      <c r="B228" t="s">
        <v>328</v>
      </c>
      <c r="C228" t="s">
        <v>343</v>
      </c>
      <c r="D228" t="s">
        <v>330</v>
      </c>
      <c r="E228" s="4">
        <v>774</v>
      </c>
      <c r="F228" t="s">
        <v>305</v>
      </c>
      <c r="G228" s="9">
        <v>5.5639</v>
      </c>
      <c r="H228" s="4">
        <v>4306.459</v>
      </c>
      <c r="I228" t="s">
        <v>306</v>
      </c>
      <c r="J228" s="10">
        <v>46265</v>
      </c>
      <c r="L228" t="s">
        <v>308</v>
      </c>
    </row>
    <row r="229" spans="1:12" x14ac:dyDescent="0.25">
      <c r="A229" t="s">
        <v>165</v>
      </c>
      <c r="B229" t="s">
        <v>338</v>
      </c>
      <c r="C229" t="s">
        <v>339</v>
      </c>
      <c r="D229" t="s">
        <v>340</v>
      </c>
      <c r="E229" s="4">
        <v>75</v>
      </c>
      <c r="F229" t="s">
        <v>305</v>
      </c>
      <c r="G229" s="9">
        <v>5.5783</v>
      </c>
      <c r="H229" s="4">
        <v>418.373</v>
      </c>
      <c r="I229" t="s">
        <v>306</v>
      </c>
      <c r="J229" s="10">
        <v>46269</v>
      </c>
      <c r="L229" t="s">
        <v>308</v>
      </c>
    </row>
    <row r="230" spans="1:12" x14ac:dyDescent="0.25">
      <c r="A230" t="s">
        <v>165</v>
      </c>
      <c r="B230" t="s">
        <v>30</v>
      </c>
      <c r="C230" t="s">
        <v>409</v>
      </c>
      <c r="D230" t="s">
        <v>352</v>
      </c>
      <c r="E230" s="4">
        <v>1130.75</v>
      </c>
      <c r="F230" t="s">
        <v>305</v>
      </c>
      <c r="G230" s="9">
        <v>5.5708</v>
      </c>
      <c r="H230" s="4">
        <v>6299.182</v>
      </c>
      <c r="I230" t="s">
        <v>306</v>
      </c>
      <c r="J230" s="10">
        <v>46275</v>
      </c>
      <c r="L230" t="s">
        <v>308</v>
      </c>
    </row>
    <row r="231" spans="1:12" x14ac:dyDescent="0.25">
      <c r="A231" t="s">
        <v>165</v>
      </c>
      <c r="B231" t="s">
        <v>353</v>
      </c>
      <c r="C231" t="s">
        <v>410</v>
      </c>
      <c r="D231" t="s">
        <v>340</v>
      </c>
      <c r="E231" s="4">
        <v>150</v>
      </c>
      <c r="F231" t="s">
        <v>305</v>
      </c>
      <c r="G231" s="9">
        <v>5.5708</v>
      </c>
      <c r="H231" s="4">
        <v>835.62</v>
      </c>
      <c r="I231" t="s">
        <v>306</v>
      </c>
      <c r="J231" s="10">
        <v>46275</v>
      </c>
      <c r="L231" t="s">
        <v>308</v>
      </c>
    </row>
    <row r="232" spans="1:12" x14ac:dyDescent="0.25">
      <c r="A232" t="s">
        <v>165</v>
      </c>
      <c r="B232" t="s">
        <v>355</v>
      </c>
      <c r="C232" t="s">
        <v>356</v>
      </c>
      <c r="D232" t="s">
        <v>357</v>
      </c>
      <c r="E232" s="4">
        <v>156</v>
      </c>
      <c r="F232" t="s">
        <v>305</v>
      </c>
      <c r="G232" s="9">
        <v>5.5708</v>
      </c>
      <c r="H232" s="4">
        <v>869.045</v>
      </c>
      <c r="I232" t="s">
        <v>306</v>
      </c>
      <c r="J232" s="10">
        <v>46275</v>
      </c>
      <c r="L232" t="s">
        <v>308</v>
      </c>
    </row>
    <row r="233" spans="1:12" x14ac:dyDescent="0.25">
      <c r="A233" t="s">
        <v>165</v>
      </c>
      <c r="B233" t="s">
        <v>398</v>
      </c>
      <c r="C233" t="s">
        <v>399</v>
      </c>
      <c r="D233" t="s">
        <v>400</v>
      </c>
      <c r="E233" s="4">
        <v>731</v>
      </c>
      <c r="F233" t="s">
        <v>372</v>
      </c>
      <c r="G233" s="9">
        <v>1</v>
      </c>
      <c r="H233" s="4">
        <v>731</v>
      </c>
      <c r="I233" t="s">
        <v>306</v>
      </c>
      <c r="J233" s="10">
        <v>46308</v>
      </c>
      <c r="L233" t="s">
        <v>308</v>
      </c>
    </row>
    <row r="234" spans="1:12" x14ac:dyDescent="0.25">
      <c r="A234" t="s">
        <v>165</v>
      </c>
      <c r="B234" t="s">
        <v>370</v>
      </c>
      <c r="C234" t="s">
        <v>371</v>
      </c>
      <c r="E234" s="4">
        <v>11440</v>
      </c>
      <c r="F234" t="s">
        <v>372</v>
      </c>
      <c r="G234" s="9">
        <v>1</v>
      </c>
      <c r="H234" s="4">
        <v>11440</v>
      </c>
      <c r="I234" t="s">
        <v>373</v>
      </c>
      <c r="J234" s="10">
        <v>46310</v>
      </c>
      <c r="L234" t="s">
        <v>315</v>
      </c>
    </row>
    <row r="235" spans="1:12" x14ac:dyDescent="0.25">
      <c r="A235" t="s">
        <v>168</v>
      </c>
      <c r="B235" t="s">
        <v>303</v>
      </c>
      <c r="C235" t="s">
        <v>413</v>
      </c>
      <c r="E235" s="4">
        <v>9475</v>
      </c>
      <c r="F235" t="s">
        <v>305</v>
      </c>
      <c r="G235" s="9">
        <v>5.5642</v>
      </c>
      <c r="H235" s="4">
        <v>52720.795</v>
      </c>
      <c r="I235" t="s">
        <v>306</v>
      </c>
      <c r="J235" s="10">
        <v>46263</v>
      </c>
      <c r="K235" t="s">
        <v>414</v>
      </c>
      <c r="L235" t="s">
        <v>308</v>
      </c>
    </row>
    <row r="236" spans="1:12" x14ac:dyDescent="0.25">
      <c r="A236" t="s">
        <v>168</v>
      </c>
      <c r="B236" t="s">
        <v>309</v>
      </c>
      <c r="C236" t="s">
        <v>310</v>
      </c>
      <c r="E236" s="4">
        <v>1008</v>
      </c>
      <c r="F236" t="s">
        <v>305</v>
      </c>
      <c r="G236" s="9">
        <v>5.5642</v>
      </c>
      <c r="H236" s="4">
        <v>5608.714</v>
      </c>
      <c r="I236" t="s">
        <v>306</v>
      </c>
      <c r="J236" s="10">
        <v>46263</v>
      </c>
      <c r="K236" t="s">
        <v>414</v>
      </c>
      <c r="L236" t="s">
        <v>308</v>
      </c>
    </row>
    <row r="237" spans="1:12" x14ac:dyDescent="0.25">
      <c r="A237" t="s">
        <v>168</v>
      </c>
      <c r="B237" t="s">
        <v>311</v>
      </c>
      <c r="C237" t="s">
        <v>312</v>
      </c>
      <c r="E237" s="4">
        <v>159</v>
      </c>
      <c r="F237" t="s">
        <v>305</v>
      </c>
      <c r="G237" s="9">
        <v>5.5642</v>
      </c>
      <c r="H237" s="4">
        <v>884.708</v>
      </c>
      <c r="I237" t="s">
        <v>306</v>
      </c>
      <c r="J237" s="10">
        <v>46263</v>
      </c>
      <c r="L237" t="s">
        <v>308</v>
      </c>
    </row>
    <row r="238" spans="1:12" x14ac:dyDescent="0.25">
      <c r="A238" t="s">
        <v>168</v>
      </c>
      <c r="B238" t="s">
        <v>313</v>
      </c>
      <c r="C238" t="s">
        <v>314</v>
      </c>
      <c r="E238" s="4">
        <v>200</v>
      </c>
      <c r="F238" t="s">
        <v>305</v>
      </c>
      <c r="G238" s="9">
        <v>5.5642</v>
      </c>
      <c r="H238" s="4">
        <v>1112.84</v>
      </c>
      <c r="I238" t="s">
        <v>306</v>
      </c>
      <c r="J238" s="10">
        <v>46263</v>
      </c>
      <c r="L238" t="s">
        <v>308</v>
      </c>
    </row>
    <row r="239" spans="1:12" x14ac:dyDescent="0.25">
      <c r="A239" t="s">
        <v>168</v>
      </c>
      <c r="B239" t="s">
        <v>328</v>
      </c>
      <c r="C239" t="s">
        <v>394</v>
      </c>
      <c r="D239" t="s">
        <v>330</v>
      </c>
      <c r="E239" s="4">
        <v>465</v>
      </c>
      <c r="F239" t="s">
        <v>305</v>
      </c>
      <c r="G239" s="9">
        <v>5.5639</v>
      </c>
      <c r="H239" s="4">
        <v>2587.214</v>
      </c>
      <c r="I239" t="s">
        <v>306</v>
      </c>
      <c r="J239" s="10">
        <v>46265</v>
      </c>
      <c r="L239" t="s">
        <v>308</v>
      </c>
    </row>
    <row r="240" spans="1:12" x14ac:dyDescent="0.25">
      <c r="A240" t="s">
        <v>168</v>
      </c>
      <c r="B240" t="s">
        <v>338</v>
      </c>
      <c r="C240" t="s">
        <v>339</v>
      </c>
      <c r="D240" t="s">
        <v>340</v>
      </c>
      <c r="E240" s="4">
        <v>75</v>
      </c>
      <c r="F240" t="s">
        <v>305</v>
      </c>
      <c r="G240" s="9">
        <v>5.5783</v>
      </c>
      <c r="H240" s="4">
        <v>418.373</v>
      </c>
      <c r="I240" t="s">
        <v>306</v>
      </c>
      <c r="J240" s="10">
        <v>46269</v>
      </c>
      <c r="L240" t="s">
        <v>308</v>
      </c>
    </row>
    <row r="241" spans="1:12" x14ac:dyDescent="0.25">
      <c r="A241" t="s">
        <v>168</v>
      </c>
      <c r="B241" t="s">
        <v>30</v>
      </c>
      <c r="C241" t="s">
        <v>409</v>
      </c>
      <c r="D241" t="s">
        <v>352</v>
      </c>
      <c r="E241" s="4">
        <v>1130.75</v>
      </c>
      <c r="F241" t="s">
        <v>305</v>
      </c>
      <c r="G241" s="9">
        <v>5.5708</v>
      </c>
      <c r="H241" s="4">
        <v>6299.182</v>
      </c>
      <c r="I241" t="s">
        <v>306</v>
      </c>
      <c r="J241" s="10">
        <v>46275</v>
      </c>
      <c r="L241" t="s">
        <v>308</v>
      </c>
    </row>
    <row r="242" spans="1:12" x14ac:dyDescent="0.25">
      <c r="A242" t="s">
        <v>168</v>
      </c>
      <c r="B242" t="s">
        <v>353</v>
      </c>
      <c r="C242" t="s">
        <v>410</v>
      </c>
      <c r="D242" t="s">
        <v>340</v>
      </c>
      <c r="E242" s="4">
        <v>150</v>
      </c>
      <c r="F242" t="s">
        <v>305</v>
      </c>
      <c r="G242" s="9">
        <v>5.5708</v>
      </c>
      <c r="H242" s="4">
        <v>835.62</v>
      </c>
      <c r="I242" t="s">
        <v>306</v>
      </c>
      <c r="J242" s="10">
        <v>46275</v>
      </c>
      <c r="L242" t="s">
        <v>308</v>
      </c>
    </row>
    <row r="243" spans="1:12" x14ac:dyDescent="0.25">
      <c r="A243" t="s">
        <v>168</v>
      </c>
      <c r="B243" t="s">
        <v>355</v>
      </c>
      <c r="C243" t="s">
        <v>356</v>
      </c>
      <c r="D243" t="s">
        <v>357</v>
      </c>
      <c r="E243" s="4">
        <v>142.125</v>
      </c>
      <c r="F243" t="s">
        <v>305</v>
      </c>
      <c r="G243" s="9">
        <v>5.5708</v>
      </c>
      <c r="H243" s="4">
        <v>791.75</v>
      </c>
      <c r="I243" t="s">
        <v>306</v>
      </c>
      <c r="J243" s="10">
        <v>46275</v>
      </c>
      <c r="L243" t="s">
        <v>308</v>
      </c>
    </row>
    <row r="244" spans="1:12" x14ac:dyDescent="0.25">
      <c r="A244" t="s">
        <v>168</v>
      </c>
      <c r="B244" t="s">
        <v>398</v>
      </c>
      <c r="C244" t="s">
        <v>399</v>
      </c>
      <c r="D244" t="s">
        <v>400</v>
      </c>
      <c r="E244" s="4">
        <v>898</v>
      </c>
      <c r="F244" t="s">
        <v>372</v>
      </c>
      <c r="G244" s="9">
        <v>1</v>
      </c>
      <c r="H244" s="4">
        <v>898</v>
      </c>
      <c r="I244" t="s">
        <v>306</v>
      </c>
      <c r="J244" s="10">
        <v>46308</v>
      </c>
      <c r="L244" t="s">
        <v>308</v>
      </c>
    </row>
    <row r="245" spans="1:12" x14ac:dyDescent="0.25">
      <c r="A245" t="s">
        <v>168</v>
      </c>
      <c r="B245" t="s">
        <v>370</v>
      </c>
      <c r="C245" t="s">
        <v>371</v>
      </c>
      <c r="E245" s="4">
        <v>10422.5</v>
      </c>
      <c r="F245" t="s">
        <v>372</v>
      </c>
      <c r="G245" s="9">
        <v>1</v>
      </c>
      <c r="H245" s="4">
        <v>10422.5</v>
      </c>
      <c r="I245" t="s">
        <v>373</v>
      </c>
      <c r="J245" s="10">
        <v>46310</v>
      </c>
      <c r="L245" t="s">
        <v>315</v>
      </c>
    </row>
    <row r="246" spans="1:12" x14ac:dyDescent="0.25">
      <c r="A246" t="s">
        <v>172</v>
      </c>
      <c r="B246" t="s">
        <v>303</v>
      </c>
      <c r="C246" t="s">
        <v>415</v>
      </c>
      <c r="E246" s="4">
        <v>18950</v>
      </c>
      <c r="F246" t="s">
        <v>305</v>
      </c>
      <c r="G246" s="9">
        <v>5.5639</v>
      </c>
      <c r="H246" s="4">
        <v>105435.905</v>
      </c>
      <c r="I246" t="s">
        <v>306</v>
      </c>
      <c r="J246" s="10">
        <v>46265</v>
      </c>
      <c r="K246" t="s">
        <v>416</v>
      </c>
      <c r="L246" t="s">
        <v>308</v>
      </c>
    </row>
    <row r="247" spans="1:12" x14ac:dyDescent="0.25">
      <c r="A247" t="s">
        <v>172</v>
      </c>
      <c r="B247" t="s">
        <v>309</v>
      </c>
      <c r="C247" t="s">
        <v>310</v>
      </c>
      <c r="E247" s="4">
        <v>1766</v>
      </c>
      <c r="F247" t="s">
        <v>305</v>
      </c>
      <c r="G247" s="9">
        <v>5.5639</v>
      </c>
      <c r="H247" s="4">
        <v>9825.847</v>
      </c>
      <c r="I247" t="s">
        <v>306</v>
      </c>
      <c r="J247" s="10">
        <v>46265</v>
      </c>
      <c r="K247" t="s">
        <v>416</v>
      </c>
      <c r="L247" t="s">
        <v>308</v>
      </c>
    </row>
    <row r="248" spans="1:12" x14ac:dyDescent="0.25">
      <c r="A248" t="s">
        <v>172</v>
      </c>
      <c r="B248" t="s">
        <v>311</v>
      </c>
      <c r="C248" t="s">
        <v>312</v>
      </c>
      <c r="E248" s="4">
        <v>135</v>
      </c>
      <c r="F248" t="s">
        <v>305</v>
      </c>
      <c r="G248" s="9">
        <v>5.5639</v>
      </c>
      <c r="H248" s="4">
        <v>751.127</v>
      </c>
      <c r="I248" t="s">
        <v>306</v>
      </c>
      <c r="J248" s="10">
        <v>46265</v>
      </c>
      <c r="L248" t="s">
        <v>308</v>
      </c>
    </row>
    <row r="249" spans="1:12" x14ac:dyDescent="0.25">
      <c r="A249" t="s">
        <v>172</v>
      </c>
      <c r="B249" t="s">
        <v>313</v>
      </c>
      <c r="C249" t="s">
        <v>314</v>
      </c>
      <c r="E249" s="4">
        <v>200</v>
      </c>
      <c r="F249" t="s">
        <v>305</v>
      </c>
      <c r="G249" s="9">
        <v>5.5639</v>
      </c>
      <c r="H249" s="4">
        <v>1112.78</v>
      </c>
      <c r="I249" t="s">
        <v>306</v>
      </c>
      <c r="J249" s="10">
        <v>46265</v>
      </c>
      <c r="L249" t="s">
        <v>308</v>
      </c>
    </row>
    <row r="250" spans="1:12" x14ac:dyDescent="0.25">
      <c r="A250" t="s">
        <v>172</v>
      </c>
      <c r="B250" t="s">
        <v>328</v>
      </c>
      <c r="C250" t="s">
        <v>346</v>
      </c>
      <c r="D250" t="s">
        <v>347</v>
      </c>
      <c r="E250" s="4">
        <v>608</v>
      </c>
      <c r="F250" t="s">
        <v>305</v>
      </c>
      <c r="G250" s="9">
        <v>5.5718</v>
      </c>
      <c r="H250" s="4">
        <v>3387.654</v>
      </c>
      <c r="I250" t="s">
        <v>306</v>
      </c>
      <c r="J250" s="10">
        <v>46267</v>
      </c>
      <c r="L250" t="s">
        <v>308</v>
      </c>
    </row>
    <row r="251" spans="1:12" x14ac:dyDescent="0.25">
      <c r="A251" t="s">
        <v>172</v>
      </c>
      <c r="B251" t="s">
        <v>338</v>
      </c>
      <c r="C251" t="s">
        <v>339</v>
      </c>
      <c r="D251" t="s">
        <v>340</v>
      </c>
      <c r="E251" s="4">
        <v>75</v>
      </c>
      <c r="F251" t="s">
        <v>305</v>
      </c>
      <c r="G251" s="9">
        <v>5.5696</v>
      </c>
      <c r="H251" s="4">
        <v>417.72</v>
      </c>
      <c r="I251" t="s">
        <v>306</v>
      </c>
      <c r="J251" s="10">
        <v>46271</v>
      </c>
      <c r="L251" t="s">
        <v>308</v>
      </c>
    </row>
    <row r="252" spans="1:12" x14ac:dyDescent="0.25">
      <c r="A252" t="s">
        <v>172</v>
      </c>
      <c r="B252" t="s">
        <v>30</v>
      </c>
      <c r="C252" t="s">
        <v>409</v>
      </c>
      <c r="D252" t="s">
        <v>352</v>
      </c>
      <c r="E252" s="4">
        <v>1130.75</v>
      </c>
      <c r="F252" t="s">
        <v>305</v>
      </c>
      <c r="G252" s="9">
        <v>5.5708</v>
      </c>
      <c r="H252" s="4">
        <v>6299.182</v>
      </c>
      <c r="I252" t="s">
        <v>306</v>
      </c>
      <c r="J252" s="10">
        <v>46275</v>
      </c>
      <c r="L252" t="s">
        <v>308</v>
      </c>
    </row>
    <row r="253" spans="1:12" x14ac:dyDescent="0.25">
      <c r="A253" t="s">
        <v>172</v>
      </c>
      <c r="B253" t="s">
        <v>353</v>
      </c>
      <c r="C253" t="s">
        <v>410</v>
      </c>
      <c r="D253" t="s">
        <v>340</v>
      </c>
      <c r="E253" s="4">
        <v>150</v>
      </c>
      <c r="F253" t="s">
        <v>305</v>
      </c>
      <c r="G253" s="9">
        <v>5.5708</v>
      </c>
      <c r="H253" s="4">
        <v>835.62</v>
      </c>
      <c r="I253" t="s">
        <v>306</v>
      </c>
      <c r="J253" s="10">
        <v>46275</v>
      </c>
      <c r="L253" t="s">
        <v>308</v>
      </c>
    </row>
    <row r="254" spans="1:12" x14ac:dyDescent="0.25">
      <c r="A254" t="s">
        <v>172</v>
      </c>
      <c r="B254" t="s">
        <v>355</v>
      </c>
      <c r="C254" t="s">
        <v>356</v>
      </c>
      <c r="D254" t="s">
        <v>357</v>
      </c>
      <c r="E254" s="4">
        <v>284.25</v>
      </c>
      <c r="F254" t="s">
        <v>305</v>
      </c>
      <c r="G254" s="9">
        <v>5.5708</v>
      </c>
      <c r="H254" s="4">
        <v>1583.5</v>
      </c>
      <c r="I254" t="s">
        <v>306</v>
      </c>
      <c r="J254" s="10">
        <v>46275</v>
      </c>
      <c r="L254" t="s">
        <v>308</v>
      </c>
    </row>
    <row r="255" spans="1:12" x14ac:dyDescent="0.25">
      <c r="A255" t="s">
        <v>172</v>
      </c>
      <c r="B255" t="s">
        <v>398</v>
      </c>
      <c r="C255" t="s">
        <v>399</v>
      </c>
      <c r="D255" t="s">
        <v>400</v>
      </c>
      <c r="E255" s="4">
        <v>737</v>
      </c>
      <c r="F255" t="s">
        <v>372</v>
      </c>
      <c r="G255" s="9">
        <v>1</v>
      </c>
      <c r="H255" s="4">
        <v>737</v>
      </c>
      <c r="I255" t="s">
        <v>306</v>
      </c>
      <c r="J255" s="10">
        <v>46310</v>
      </c>
      <c r="L255" t="s">
        <v>308</v>
      </c>
    </row>
    <row r="256" spans="1:12" x14ac:dyDescent="0.25">
      <c r="A256" t="s">
        <v>172</v>
      </c>
      <c r="B256" t="s">
        <v>370</v>
      </c>
      <c r="C256" t="s">
        <v>371</v>
      </c>
      <c r="E256" s="4">
        <v>20845</v>
      </c>
      <c r="F256" t="s">
        <v>372</v>
      </c>
      <c r="G256" s="9">
        <v>1</v>
      </c>
      <c r="H256" s="4">
        <v>20845</v>
      </c>
      <c r="I256" t="s">
        <v>373</v>
      </c>
      <c r="J256" s="10">
        <v>46310</v>
      </c>
      <c r="L256" t="s">
        <v>315</v>
      </c>
    </row>
    <row r="257" spans="1:12" x14ac:dyDescent="0.25">
      <c r="A257" t="s">
        <v>176</v>
      </c>
      <c r="B257" t="s">
        <v>303</v>
      </c>
      <c r="C257" t="s">
        <v>417</v>
      </c>
      <c r="E257" s="4">
        <v>20650</v>
      </c>
      <c r="F257" t="s">
        <v>305</v>
      </c>
      <c r="G257" s="9">
        <v>5.5554</v>
      </c>
      <c r="H257" s="4">
        <v>114719.01</v>
      </c>
      <c r="I257" t="s">
        <v>306</v>
      </c>
      <c r="J257" s="10">
        <v>46260</v>
      </c>
      <c r="K257" t="s">
        <v>418</v>
      </c>
      <c r="L257" t="s">
        <v>308</v>
      </c>
    </row>
    <row r="258" spans="1:12" x14ac:dyDescent="0.25">
      <c r="A258" t="s">
        <v>176</v>
      </c>
      <c r="B258" t="s">
        <v>309</v>
      </c>
      <c r="C258" t="s">
        <v>310</v>
      </c>
      <c r="E258" s="4">
        <v>1902</v>
      </c>
      <c r="F258" t="s">
        <v>305</v>
      </c>
      <c r="G258" s="9">
        <v>5.5554</v>
      </c>
      <c r="H258" s="4">
        <v>10566.371</v>
      </c>
      <c r="I258" t="s">
        <v>306</v>
      </c>
      <c r="J258" s="10">
        <v>46260</v>
      </c>
      <c r="K258" t="s">
        <v>418</v>
      </c>
      <c r="L258" t="s">
        <v>308</v>
      </c>
    </row>
    <row r="259" spans="1:12" x14ac:dyDescent="0.25">
      <c r="A259" t="s">
        <v>176</v>
      </c>
      <c r="B259" t="s">
        <v>311</v>
      </c>
      <c r="C259" t="s">
        <v>312</v>
      </c>
      <c r="E259" s="4">
        <v>159</v>
      </c>
      <c r="F259" t="s">
        <v>305</v>
      </c>
      <c r="G259" s="9">
        <v>5.5554</v>
      </c>
      <c r="H259" s="4">
        <v>883.309</v>
      </c>
      <c r="I259" t="s">
        <v>306</v>
      </c>
      <c r="J259" s="10">
        <v>46260</v>
      </c>
      <c r="L259" t="s">
        <v>308</v>
      </c>
    </row>
    <row r="260" spans="1:12" x14ac:dyDescent="0.25">
      <c r="A260" t="s">
        <v>176</v>
      </c>
      <c r="B260" t="s">
        <v>313</v>
      </c>
      <c r="C260" t="s">
        <v>314</v>
      </c>
      <c r="E260" s="4">
        <v>200</v>
      </c>
      <c r="F260" t="s">
        <v>305</v>
      </c>
      <c r="G260" s="9">
        <v>5.5554</v>
      </c>
      <c r="H260" s="4">
        <v>1111.08</v>
      </c>
      <c r="I260" t="s">
        <v>306</v>
      </c>
      <c r="J260" s="10">
        <v>46260</v>
      </c>
      <c r="L260" t="s">
        <v>308</v>
      </c>
    </row>
    <row r="261" spans="1:12" x14ac:dyDescent="0.25">
      <c r="A261" t="s">
        <v>176</v>
      </c>
      <c r="B261" t="s">
        <v>328</v>
      </c>
      <c r="C261" t="s">
        <v>362</v>
      </c>
      <c r="D261" t="s">
        <v>330</v>
      </c>
      <c r="E261" s="4">
        <v>636</v>
      </c>
      <c r="F261" t="s">
        <v>305</v>
      </c>
      <c r="G261" s="9">
        <v>5.5589</v>
      </c>
      <c r="H261" s="4">
        <v>3535.46</v>
      </c>
      <c r="I261" t="s">
        <v>306</v>
      </c>
      <c r="J261" s="10">
        <v>46262</v>
      </c>
      <c r="L261" t="s">
        <v>308</v>
      </c>
    </row>
    <row r="262" spans="1:12" x14ac:dyDescent="0.25">
      <c r="A262" t="s">
        <v>176</v>
      </c>
      <c r="B262" t="s">
        <v>338</v>
      </c>
      <c r="C262" t="s">
        <v>339</v>
      </c>
      <c r="D262" t="s">
        <v>340</v>
      </c>
      <c r="E262" s="4">
        <v>75</v>
      </c>
      <c r="F262" t="s">
        <v>305</v>
      </c>
      <c r="G262" s="9">
        <v>5.5638</v>
      </c>
      <c r="H262" s="4">
        <v>417.285</v>
      </c>
      <c r="I262" t="s">
        <v>306</v>
      </c>
      <c r="J262" s="10">
        <v>46266</v>
      </c>
      <c r="L262" t="s">
        <v>308</v>
      </c>
    </row>
    <row r="263" spans="1:12" x14ac:dyDescent="0.25">
      <c r="A263" t="s">
        <v>176</v>
      </c>
      <c r="B263" t="s">
        <v>30</v>
      </c>
      <c r="C263" t="s">
        <v>419</v>
      </c>
      <c r="D263" t="s">
        <v>352</v>
      </c>
      <c r="E263" s="4">
        <v>969</v>
      </c>
      <c r="F263" t="s">
        <v>305</v>
      </c>
      <c r="G263" s="9">
        <v>5.5639</v>
      </c>
      <c r="H263" s="4">
        <v>5391.419</v>
      </c>
      <c r="I263" t="s">
        <v>306</v>
      </c>
      <c r="J263" s="10">
        <v>46265</v>
      </c>
      <c r="L263" t="s">
        <v>308</v>
      </c>
    </row>
    <row r="264" spans="1:12" x14ac:dyDescent="0.25">
      <c r="A264" t="s">
        <v>176</v>
      </c>
      <c r="B264" t="s">
        <v>353</v>
      </c>
      <c r="C264" t="s">
        <v>420</v>
      </c>
      <c r="D264" t="s">
        <v>340</v>
      </c>
      <c r="E264" s="4">
        <v>150</v>
      </c>
      <c r="F264" t="s">
        <v>305</v>
      </c>
      <c r="G264" s="9">
        <v>5.5639</v>
      </c>
      <c r="H264" s="4">
        <v>834.585</v>
      </c>
      <c r="I264" t="s">
        <v>306</v>
      </c>
      <c r="J264" s="10">
        <v>46265</v>
      </c>
      <c r="L264" t="s">
        <v>308</v>
      </c>
    </row>
    <row r="265" spans="1:12" x14ac:dyDescent="0.25">
      <c r="A265" t="s">
        <v>176</v>
      </c>
      <c r="B265" t="s">
        <v>355</v>
      </c>
      <c r="C265" t="s">
        <v>356</v>
      </c>
      <c r="D265" t="s">
        <v>357</v>
      </c>
      <c r="E265" s="4">
        <v>309.75</v>
      </c>
      <c r="F265" t="s">
        <v>305</v>
      </c>
      <c r="G265" s="9">
        <v>5.5639</v>
      </c>
      <c r="H265" s="4">
        <v>1723.418</v>
      </c>
      <c r="I265" t="s">
        <v>306</v>
      </c>
      <c r="J265" s="10">
        <v>46265</v>
      </c>
      <c r="L265" t="s">
        <v>308</v>
      </c>
    </row>
    <row r="266" spans="1:12" x14ac:dyDescent="0.25">
      <c r="A266" t="s">
        <v>176</v>
      </c>
      <c r="B266" t="s">
        <v>398</v>
      </c>
      <c r="C266" t="s">
        <v>399</v>
      </c>
      <c r="D266" t="s">
        <v>400</v>
      </c>
      <c r="E266" s="4">
        <v>791</v>
      </c>
      <c r="F266" t="s">
        <v>372</v>
      </c>
      <c r="G266" s="9">
        <v>1</v>
      </c>
      <c r="H266" s="4">
        <v>791</v>
      </c>
      <c r="I266" t="s">
        <v>306</v>
      </c>
      <c r="J266" s="10">
        <v>46305</v>
      </c>
      <c r="L266" t="s">
        <v>308</v>
      </c>
    </row>
    <row r="267" spans="1:12" x14ac:dyDescent="0.25">
      <c r="A267" t="s">
        <v>176</v>
      </c>
      <c r="B267" t="s">
        <v>421</v>
      </c>
      <c r="C267" t="s">
        <v>422</v>
      </c>
      <c r="D267" t="s">
        <v>400</v>
      </c>
      <c r="E267" s="4">
        <v>389</v>
      </c>
      <c r="F267" t="s">
        <v>372</v>
      </c>
      <c r="G267" s="9">
        <v>1</v>
      </c>
      <c r="H267" s="4">
        <v>389</v>
      </c>
      <c r="I267" t="s">
        <v>306</v>
      </c>
      <c r="J267" s="10">
        <v>46310</v>
      </c>
      <c r="L267" t="s">
        <v>308</v>
      </c>
    </row>
    <row r="268" spans="1:12" x14ac:dyDescent="0.25">
      <c r="A268" t="s">
        <v>176</v>
      </c>
      <c r="B268" t="s">
        <v>370</v>
      </c>
      <c r="C268" t="s">
        <v>423</v>
      </c>
      <c r="E268" s="4">
        <v>26019</v>
      </c>
      <c r="F268" t="s">
        <v>372</v>
      </c>
      <c r="G268" s="9">
        <v>1</v>
      </c>
      <c r="H268" s="4">
        <v>26019</v>
      </c>
      <c r="I268" t="s">
        <v>306</v>
      </c>
      <c r="J268" s="10">
        <v>46309</v>
      </c>
      <c r="K268" t="s">
        <v>424</v>
      </c>
      <c r="L268" t="s">
        <v>308</v>
      </c>
    </row>
    <row r="269" spans="1:12" x14ac:dyDescent="0.25">
      <c r="A269" t="s">
        <v>176</v>
      </c>
      <c r="B269" t="s">
        <v>425</v>
      </c>
      <c r="C269" t="s">
        <v>426</v>
      </c>
      <c r="D269" t="s">
        <v>427</v>
      </c>
      <c r="E269" s="4">
        <v>440</v>
      </c>
      <c r="F269" t="s">
        <v>372</v>
      </c>
      <c r="G269" s="9">
        <v>1</v>
      </c>
      <c r="H269" s="4">
        <v>440</v>
      </c>
      <c r="I269" t="s">
        <v>306</v>
      </c>
      <c r="J269" s="10">
        <v>46310</v>
      </c>
      <c r="L269" t="s">
        <v>308</v>
      </c>
    </row>
    <row r="270" spans="1:12" x14ac:dyDescent="0.25">
      <c r="A270" t="s">
        <v>182</v>
      </c>
      <c r="B270" t="s">
        <v>303</v>
      </c>
      <c r="C270" t="s">
        <v>428</v>
      </c>
      <c r="E270" s="4">
        <v>6125</v>
      </c>
      <c r="F270" t="s">
        <v>305</v>
      </c>
      <c r="G270" s="9">
        <v>5.5589</v>
      </c>
      <c r="H270" s="4">
        <v>34048.263</v>
      </c>
      <c r="I270" t="s">
        <v>306</v>
      </c>
      <c r="J270" s="10">
        <v>46262</v>
      </c>
      <c r="K270" t="s">
        <v>429</v>
      </c>
      <c r="L270" t="s">
        <v>308</v>
      </c>
    </row>
    <row r="271" spans="1:12" x14ac:dyDescent="0.25">
      <c r="A271" t="s">
        <v>182</v>
      </c>
      <c r="B271" t="s">
        <v>309</v>
      </c>
      <c r="C271" t="s">
        <v>310</v>
      </c>
      <c r="E271" s="4">
        <v>740</v>
      </c>
      <c r="F271" t="s">
        <v>305</v>
      </c>
      <c r="G271" s="9">
        <v>5.5589</v>
      </c>
      <c r="H271" s="4">
        <v>4113.586</v>
      </c>
      <c r="I271" t="s">
        <v>306</v>
      </c>
      <c r="J271" s="10">
        <v>46262</v>
      </c>
      <c r="K271" t="s">
        <v>429</v>
      </c>
      <c r="L271" t="s">
        <v>308</v>
      </c>
    </row>
    <row r="272" spans="1:12" x14ac:dyDescent="0.25">
      <c r="A272" t="s">
        <v>182</v>
      </c>
      <c r="B272" t="s">
        <v>311</v>
      </c>
      <c r="C272" t="s">
        <v>312</v>
      </c>
      <c r="E272" s="4">
        <v>159</v>
      </c>
      <c r="F272" t="s">
        <v>305</v>
      </c>
      <c r="G272" s="9">
        <v>5.5589</v>
      </c>
      <c r="H272" s="4">
        <v>883.865</v>
      </c>
      <c r="I272" t="s">
        <v>306</v>
      </c>
      <c r="J272" s="10">
        <v>46262</v>
      </c>
      <c r="L272" t="s">
        <v>308</v>
      </c>
    </row>
    <row r="273" spans="1:12" x14ac:dyDescent="0.25">
      <c r="A273" t="s">
        <v>182</v>
      </c>
      <c r="B273" t="s">
        <v>313</v>
      </c>
      <c r="C273" t="s">
        <v>314</v>
      </c>
      <c r="E273" s="4">
        <v>200</v>
      </c>
      <c r="F273" t="s">
        <v>305</v>
      </c>
      <c r="G273" s="9">
        <v>5.5589</v>
      </c>
      <c r="H273" s="4">
        <v>1111.78</v>
      </c>
      <c r="I273" t="s">
        <v>306</v>
      </c>
      <c r="J273" s="10">
        <v>46262</v>
      </c>
      <c r="L273" t="s">
        <v>308</v>
      </c>
    </row>
    <row r="274" spans="1:12" x14ac:dyDescent="0.25">
      <c r="A274" t="s">
        <v>182</v>
      </c>
      <c r="B274" t="s">
        <v>328</v>
      </c>
      <c r="C274" t="s">
        <v>382</v>
      </c>
      <c r="D274" t="s">
        <v>330</v>
      </c>
      <c r="E274" s="4">
        <v>569</v>
      </c>
      <c r="F274" t="s">
        <v>305</v>
      </c>
      <c r="G274" s="9">
        <v>5.5638</v>
      </c>
      <c r="H274" s="4">
        <v>3165.802</v>
      </c>
      <c r="I274" t="s">
        <v>306</v>
      </c>
      <c r="J274" s="10">
        <v>46264</v>
      </c>
      <c r="L274" t="s">
        <v>308</v>
      </c>
    </row>
    <row r="275" spans="1:12" x14ac:dyDescent="0.25">
      <c r="A275" t="s">
        <v>182</v>
      </c>
      <c r="B275" t="s">
        <v>338</v>
      </c>
      <c r="C275" t="s">
        <v>339</v>
      </c>
      <c r="D275" t="s">
        <v>340</v>
      </c>
      <c r="E275" s="4">
        <v>75</v>
      </c>
      <c r="F275" t="s">
        <v>305</v>
      </c>
      <c r="G275" s="9">
        <v>5.5704</v>
      </c>
      <c r="H275" s="4">
        <v>417.78</v>
      </c>
      <c r="I275" t="s">
        <v>306</v>
      </c>
      <c r="J275" s="10">
        <v>46268</v>
      </c>
      <c r="L275" t="s">
        <v>308</v>
      </c>
    </row>
    <row r="276" spans="1:12" x14ac:dyDescent="0.25">
      <c r="A276" t="s">
        <v>182</v>
      </c>
      <c r="B276" t="s">
        <v>30</v>
      </c>
      <c r="C276" t="s">
        <v>419</v>
      </c>
      <c r="D276" t="s">
        <v>352</v>
      </c>
      <c r="E276" s="4">
        <v>969</v>
      </c>
      <c r="F276" t="s">
        <v>305</v>
      </c>
      <c r="G276" s="9">
        <v>5.5639</v>
      </c>
      <c r="H276" s="4">
        <v>5391.419</v>
      </c>
      <c r="I276" t="s">
        <v>306</v>
      </c>
      <c r="J276" s="10">
        <v>46265</v>
      </c>
      <c r="L276" t="s">
        <v>308</v>
      </c>
    </row>
    <row r="277" spans="1:12" x14ac:dyDescent="0.25">
      <c r="A277" t="s">
        <v>182</v>
      </c>
      <c r="B277" t="s">
        <v>353</v>
      </c>
      <c r="C277" t="s">
        <v>420</v>
      </c>
      <c r="D277" t="s">
        <v>340</v>
      </c>
      <c r="E277" s="4">
        <v>150</v>
      </c>
      <c r="F277" t="s">
        <v>305</v>
      </c>
      <c r="G277" s="9">
        <v>5.5639</v>
      </c>
      <c r="H277" s="4">
        <v>834.585</v>
      </c>
      <c r="I277" t="s">
        <v>306</v>
      </c>
      <c r="J277" s="10">
        <v>46265</v>
      </c>
      <c r="L277" t="s">
        <v>308</v>
      </c>
    </row>
    <row r="278" spans="1:12" x14ac:dyDescent="0.25">
      <c r="A278" t="s">
        <v>182</v>
      </c>
      <c r="B278" t="s">
        <v>355</v>
      </c>
      <c r="C278" t="s">
        <v>356</v>
      </c>
      <c r="D278" t="s">
        <v>357</v>
      </c>
      <c r="E278" s="4">
        <v>91.875</v>
      </c>
      <c r="F278" t="s">
        <v>305</v>
      </c>
      <c r="G278" s="9">
        <v>5.5639</v>
      </c>
      <c r="H278" s="4">
        <v>511.183</v>
      </c>
      <c r="I278" t="s">
        <v>306</v>
      </c>
      <c r="J278" s="10">
        <v>46265</v>
      </c>
      <c r="L278" t="s">
        <v>308</v>
      </c>
    </row>
    <row r="279" spans="1:12" x14ac:dyDescent="0.25">
      <c r="A279" t="s">
        <v>182</v>
      </c>
      <c r="B279" t="s">
        <v>398</v>
      </c>
      <c r="C279" t="s">
        <v>399</v>
      </c>
      <c r="D279" t="s">
        <v>400</v>
      </c>
      <c r="E279" s="4">
        <v>858</v>
      </c>
      <c r="F279" t="s">
        <v>372</v>
      </c>
      <c r="G279" s="9">
        <v>1</v>
      </c>
      <c r="H279" s="4">
        <v>858</v>
      </c>
      <c r="I279" t="s">
        <v>306</v>
      </c>
      <c r="J279" s="10">
        <v>46307</v>
      </c>
      <c r="L279" t="s">
        <v>308</v>
      </c>
    </row>
    <row r="280" spans="1:12" x14ac:dyDescent="0.25">
      <c r="A280" t="s">
        <v>182</v>
      </c>
      <c r="B280" t="s">
        <v>370</v>
      </c>
      <c r="C280" t="s">
        <v>423</v>
      </c>
      <c r="E280" s="4">
        <v>7718</v>
      </c>
      <c r="F280" t="s">
        <v>372</v>
      </c>
      <c r="G280" s="9">
        <v>1</v>
      </c>
      <c r="H280" s="4">
        <v>7718</v>
      </c>
      <c r="I280" t="s">
        <v>306</v>
      </c>
      <c r="J280" s="10">
        <v>46311</v>
      </c>
      <c r="K280" t="s">
        <v>430</v>
      </c>
      <c r="L280" t="s">
        <v>308</v>
      </c>
    </row>
    <row r="281" spans="1:12" x14ac:dyDescent="0.25">
      <c r="A281" t="s">
        <v>182</v>
      </c>
      <c r="B281" t="s">
        <v>425</v>
      </c>
      <c r="C281" t="s">
        <v>426</v>
      </c>
      <c r="D281" t="s">
        <v>427</v>
      </c>
      <c r="E281" s="4">
        <v>535</v>
      </c>
      <c r="F281" t="s">
        <v>372</v>
      </c>
      <c r="G281" s="9">
        <v>1</v>
      </c>
      <c r="H281" s="4">
        <v>535</v>
      </c>
      <c r="I281" t="s">
        <v>306</v>
      </c>
      <c r="J281" s="10">
        <v>46312</v>
      </c>
      <c r="L281" t="s">
        <v>308</v>
      </c>
    </row>
    <row r="282" spans="1:12" x14ac:dyDescent="0.25">
      <c r="A282" t="s">
        <v>186</v>
      </c>
      <c r="B282" t="s">
        <v>303</v>
      </c>
      <c r="C282" t="s">
        <v>431</v>
      </c>
      <c r="E282" s="4">
        <v>30400</v>
      </c>
      <c r="F282" t="s">
        <v>305</v>
      </c>
      <c r="G282" s="9">
        <v>5.5562</v>
      </c>
      <c r="H282" s="4">
        <v>168908.48</v>
      </c>
      <c r="I282" t="s">
        <v>306</v>
      </c>
      <c r="J282" s="10">
        <v>46254</v>
      </c>
      <c r="K282" t="s">
        <v>432</v>
      </c>
      <c r="L282" t="s">
        <v>308</v>
      </c>
    </row>
    <row r="283" spans="1:12" x14ac:dyDescent="0.25">
      <c r="A283" t="s">
        <v>186</v>
      </c>
      <c r="B283" t="s">
        <v>309</v>
      </c>
      <c r="C283" t="s">
        <v>310</v>
      </c>
      <c r="E283" s="4">
        <v>2682</v>
      </c>
      <c r="F283" t="s">
        <v>305</v>
      </c>
      <c r="G283" s="9">
        <v>5.5562</v>
      </c>
      <c r="H283" s="4">
        <v>14901.728</v>
      </c>
      <c r="I283" t="s">
        <v>306</v>
      </c>
      <c r="J283" s="10">
        <v>46254</v>
      </c>
      <c r="K283" t="s">
        <v>432</v>
      </c>
      <c r="L283" t="s">
        <v>308</v>
      </c>
    </row>
    <row r="284" spans="1:12" x14ac:dyDescent="0.25">
      <c r="A284" t="s">
        <v>186</v>
      </c>
      <c r="B284" t="s">
        <v>311</v>
      </c>
      <c r="C284" t="s">
        <v>312</v>
      </c>
      <c r="E284" s="4">
        <v>159</v>
      </c>
      <c r="F284" t="s">
        <v>305</v>
      </c>
      <c r="G284" s="9">
        <v>5.5562</v>
      </c>
      <c r="H284" s="4">
        <v>883.436</v>
      </c>
      <c r="I284" t="s">
        <v>306</v>
      </c>
      <c r="J284" s="10">
        <v>46254</v>
      </c>
      <c r="L284" t="s">
        <v>308</v>
      </c>
    </row>
    <row r="285" spans="1:12" x14ac:dyDescent="0.25">
      <c r="A285" t="s">
        <v>186</v>
      </c>
      <c r="B285" t="s">
        <v>313</v>
      </c>
      <c r="C285" t="s">
        <v>314</v>
      </c>
      <c r="E285" s="4">
        <v>200</v>
      </c>
      <c r="F285" t="s">
        <v>305</v>
      </c>
      <c r="G285" s="9">
        <v>5.5562</v>
      </c>
      <c r="H285" s="4">
        <v>1111.24</v>
      </c>
      <c r="I285" t="s">
        <v>306</v>
      </c>
      <c r="J285" s="10">
        <v>46254</v>
      </c>
      <c r="L285" t="s">
        <v>308</v>
      </c>
    </row>
    <row r="286" spans="1:12" x14ac:dyDescent="0.25">
      <c r="A286" t="s">
        <v>186</v>
      </c>
      <c r="B286" t="s">
        <v>328</v>
      </c>
      <c r="C286" t="s">
        <v>387</v>
      </c>
      <c r="D286" t="s">
        <v>330</v>
      </c>
      <c r="E286" s="4">
        <v>572</v>
      </c>
      <c r="F286" t="s">
        <v>305</v>
      </c>
      <c r="G286" s="9">
        <v>5.5547</v>
      </c>
      <c r="H286" s="4">
        <v>3177.288</v>
      </c>
      <c r="I286" t="s">
        <v>306</v>
      </c>
      <c r="J286" s="10">
        <v>46256</v>
      </c>
      <c r="L286" t="s">
        <v>308</v>
      </c>
    </row>
    <row r="287" spans="1:12" x14ac:dyDescent="0.25">
      <c r="A287" t="s">
        <v>186</v>
      </c>
      <c r="B287" t="s">
        <v>338</v>
      </c>
      <c r="C287" t="s">
        <v>339</v>
      </c>
      <c r="D287" t="s">
        <v>340</v>
      </c>
      <c r="E287" s="4">
        <v>75</v>
      </c>
      <c r="F287" t="s">
        <v>305</v>
      </c>
      <c r="G287" s="9">
        <v>5.5554</v>
      </c>
      <c r="H287" s="4">
        <v>416.655</v>
      </c>
      <c r="I287" t="s">
        <v>306</v>
      </c>
      <c r="J287" s="10">
        <v>46260</v>
      </c>
      <c r="L287" t="s">
        <v>308</v>
      </c>
    </row>
    <row r="288" spans="1:12" x14ac:dyDescent="0.25">
      <c r="A288" t="s">
        <v>186</v>
      </c>
      <c r="B288" t="s">
        <v>30</v>
      </c>
      <c r="C288" t="s">
        <v>419</v>
      </c>
      <c r="D288" t="s">
        <v>352</v>
      </c>
      <c r="E288" s="4">
        <v>969</v>
      </c>
      <c r="F288" t="s">
        <v>305</v>
      </c>
      <c r="G288" s="9">
        <v>5.5639</v>
      </c>
      <c r="H288" s="4">
        <v>5391.419</v>
      </c>
      <c r="I288" t="s">
        <v>306</v>
      </c>
      <c r="J288" s="10">
        <v>46265</v>
      </c>
      <c r="L288" t="s">
        <v>308</v>
      </c>
    </row>
    <row r="289" spans="1:12" x14ac:dyDescent="0.25">
      <c r="A289" t="s">
        <v>186</v>
      </c>
      <c r="B289" t="s">
        <v>353</v>
      </c>
      <c r="C289" t="s">
        <v>420</v>
      </c>
      <c r="D289" t="s">
        <v>340</v>
      </c>
      <c r="E289" s="4">
        <v>150</v>
      </c>
      <c r="F289" t="s">
        <v>305</v>
      </c>
      <c r="G289" s="9">
        <v>5.5639</v>
      </c>
      <c r="H289" s="4">
        <v>834.585</v>
      </c>
      <c r="I289" t="s">
        <v>306</v>
      </c>
      <c r="J289" s="10">
        <v>46265</v>
      </c>
      <c r="L289" t="s">
        <v>308</v>
      </c>
    </row>
    <row r="290" spans="1:12" x14ac:dyDescent="0.25">
      <c r="A290" t="s">
        <v>186</v>
      </c>
      <c r="B290" t="s">
        <v>355</v>
      </c>
      <c r="C290" t="s">
        <v>356</v>
      </c>
      <c r="D290" t="s">
        <v>357</v>
      </c>
      <c r="E290" s="4">
        <v>456</v>
      </c>
      <c r="F290" t="s">
        <v>305</v>
      </c>
      <c r="G290" s="9">
        <v>5.5639</v>
      </c>
      <c r="H290" s="4">
        <v>2537.138</v>
      </c>
      <c r="I290" t="s">
        <v>306</v>
      </c>
      <c r="J290" s="10">
        <v>46265</v>
      </c>
      <c r="L290" t="s">
        <v>308</v>
      </c>
    </row>
    <row r="291" spans="1:12" x14ac:dyDescent="0.25">
      <c r="A291" t="s">
        <v>186</v>
      </c>
      <c r="B291" t="s">
        <v>398</v>
      </c>
      <c r="C291" t="s">
        <v>399</v>
      </c>
      <c r="D291" t="s">
        <v>400</v>
      </c>
      <c r="E291" s="4">
        <v>700</v>
      </c>
      <c r="F291" t="s">
        <v>372</v>
      </c>
      <c r="G291" s="9">
        <v>1</v>
      </c>
      <c r="H291" s="4">
        <v>700</v>
      </c>
      <c r="I291" t="s">
        <v>306</v>
      </c>
      <c r="J291" s="10">
        <v>46299</v>
      </c>
      <c r="L291" t="s">
        <v>308</v>
      </c>
    </row>
    <row r="292" spans="1:12" x14ac:dyDescent="0.25">
      <c r="A292" t="s">
        <v>186</v>
      </c>
      <c r="B292" t="s">
        <v>370</v>
      </c>
      <c r="C292" t="s">
        <v>423</v>
      </c>
      <c r="E292" s="4">
        <v>38304</v>
      </c>
      <c r="F292" t="s">
        <v>372</v>
      </c>
      <c r="G292" s="9">
        <v>1</v>
      </c>
      <c r="H292" s="4">
        <v>38304</v>
      </c>
      <c r="I292" t="s">
        <v>306</v>
      </c>
      <c r="J292" s="10">
        <v>46303</v>
      </c>
      <c r="K292" t="s">
        <v>433</v>
      </c>
      <c r="L292" t="s">
        <v>308</v>
      </c>
    </row>
    <row r="293" spans="1:12" x14ac:dyDescent="0.25">
      <c r="A293" t="s">
        <v>186</v>
      </c>
      <c r="B293" t="s">
        <v>425</v>
      </c>
      <c r="C293" t="s">
        <v>426</v>
      </c>
      <c r="D293" t="s">
        <v>427</v>
      </c>
      <c r="E293" s="4">
        <v>562</v>
      </c>
      <c r="F293" t="s">
        <v>372</v>
      </c>
      <c r="G293" s="9">
        <v>1</v>
      </c>
      <c r="H293" s="4">
        <v>562</v>
      </c>
      <c r="I293" t="s">
        <v>306</v>
      </c>
      <c r="J293" s="10">
        <v>46304</v>
      </c>
      <c r="L293" t="s">
        <v>308</v>
      </c>
    </row>
    <row r="294" spans="1:12" x14ac:dyDescent="0.25">
      <c r="A294" t="s">
        <v>186</v>
      </c>
      <c r="B294" t="s">
        <v>434</v>
      </c>
      <c r="C294" t="s">
        <v>435</v>
      </c>
      <c r="D294" t="s">
        <v>436</v>
      </c>
      <c r="E294" s="4">
        <v>347</v>
      </c>
      <c r="F294" t="s">
        <v>372</v>
      </c>
      <c r="G294" s="9">
        <v>1</v>
      </c>
      <c r="H294" s="4">
        <v>347</v>
      </c>
      <c r="I294" t="s">
        <v>306</v>
      </c>
      <c r="J294" s="10">
        <v>46305</v>
      </c>
      <c r="L294" t="s">
        <v>308</v>
      </c>
    </row>
    <row r="295" spans="1:12" x14ac:dyDescent="0.25">
      <c r="A295" t="s">
        <v>191</v>
      </c>
      <c r="B295" t="s">
        <v>303</v>
      </c>
      <c r="C295" t="s">
        <v>437</v>
      </c>
      <c r="E295" s="4">
        <v>15225</v>
      </c>
      <c r="F295" t="s">
        <v>305</v>
      </c>
      <c r="G295" s="9">
        <v>5.5483</v>
      </c>
      <c r="H295" s="4">
        <v>84472.868</v>
      </c>
      <c r="I295" t="s">
        <v>306</v>
      </c>
      <c r="J295" s="10">
        <v>46253</v>
      </c>
      <c r="K295" t="s">
        <v>438</v>
      </c>
      <c r="L295" t="s">
        <v>308</v>
      </c>
    </row>
    <row r="296" spans="1:12" x14ac:dyDescent="0.25">
      <c r="A296" t="s">
        <v>191</v>
      </c>
      <c r="B296" t="s">
        <v>309</v>
      </c>
      <c r="C296" t="s">
        <v>310</v>
      </c>
      <c r="E296" s="4">
        <v>1468</v>
      </c>
      <c r="F296" t="s">
        <v>305</v>
      </c>
      <c r="G296" s="9">
        <v>5.5483</v>
      </c>
      <c r="H296" s="4">
        <v>8144.904</v>
      </c>
      <c r="I296" t="s">
        <v>306</v>
      </c>
      <c r="J296" s="10">
        <v>46253</v>
      </c>
      <c r="K296" t="s">
        <v>438</v>
      </c>
      <c r="L296" t="s">
        <v>308</v>
      </c>
    </row>
    <row r="297" spans="1:12" x14ac:dyDescent="0.25">
      <c r="A297" t="s">
        <v>191</v>
      </c>
      <c r="B297" t="s">
        <v>311</v>
      </c>
      <c r="C297" t="s">
        <v>312</v>
      </c>
      <c r="E297" s="4">
        <v>135</v>
      </c>
      <c r="F297" t="s">
        <v>305</v>
      </c>
      <c r="G297" s="9">
        <v>5.5483</v>
      </c>
      <c r="H297" s="4">
        <v>749.021</v>
      </c>
      <c r="I297" t="s">
        <v>306</v>
      </c>
      <c r="J297" s="10">
        <v>46253</v>
      </c>
      <c r="L297" t="s">
        <v>308</v>
      </c>
    </row>
    <row r="298" spans="1:12" x14ac:dyDescent="0.25">
      <c r="A298" t="s">
        <v>191</v>
      </c>
      <c r="B298" t="s">
        <v>313</v>
      </c>
      <c r="C298" t="s">
        <v>314</v>
      </c>
      <c r="E298" s="4">
        <v>200</v>
      </c>
      <c r="F298" t="s">
        <v>305</v>
      </c>
      <c r="G298" s="9">
        <v>5.5483</v>
      </c>
      <c r="H298" s="4">
        <v>1109.66</v>
      </c>
      <c r="I298" t="s">
        <v>306</v>
      </c>
      <c r="J298" s="10">
        <v>46253</v>
      </c>
      <c r="L298" t="s">
        <v>308</v>
      </c>
    </row>
    <row r="299" spans="1:12" x14ac:dyDescent="0.25">
      <c r="A299" t="s">
        <v>191</v>
      </c>
      <c r="B299" t="s">
        <v>328</v>
      </c>
      <c r="C299" t="s">
        <v>387</v>
      </c>
      <c r="D299" t="s">
        <v>330</v>
      </c>
      <c r="E299" s="4">
        <v>699</v>
      </c>
      <c r="F299" t="s">
        <v>305</v>
      </c>
      <c r="G299" s="9">
        <v>5.554</v>
      </c>
      <c r="H299" s="4">
        <v>3882.246</v>
      </c>
      <c r="I299" t="s">
        <v>306</v>
      </c>
      <c r="J299" s="10">
        <v>46255</v>
      </c>
      <c r="L299" t="s">
        <v>308</v>
      </c>
    </row>
    <row r="300" spans="1:12" x14ac:dyDescent="0.25">
      <c r="A300" t="s">
        <v>191</v>
      </c>
      <c r="B300" t="s">
        <v>338</v>
      </c>
      <c r="C300" t="s">
        <v>339</v>
      </c>
      <c r="D300" t="s">
        <v>340</v>
      </c>
      <c r="E300" s="4">
        <v>75</v>
      </c>
      <c r="F300" t="s">
        <v>305</v>
      </c>
      <c r="G300" s="9">
        <v>5.5467</v>
      </c>
      <c r="H300" s="4">
        <v>416.003</v>
      </c>
      <c r="I300" t="s">
        <v>306</v>
      </c>
      <c r="J300" s="10">
        <v>46259</v>
      </c>
      <c r="L300" t="s">
        <v>308</v>
      </c>
    </row>
    <row r="301" spans="1:12" x14ac:dyDescent="0.25">
      <c r="A301" t="s">
        <v>191</v>
      </c>
      <c r="B301" t="s">
        <v>30</v>
      </c>
      <c r="C301" t="s">
        <v>419</v>
      </c>
      <c r="D301" t="s">
        <v>352</v>
      </c>
      <c r="E301" s="4">
        <v>969</v>
      </c>
      <c r="F301" t="s">
        <v>305</v>
      </c>
      <c r="G301" s="9">
        <v>5.5639</v>
      </c>
      <c r="H301" s="4">
        <v>5391.419</v>
      </c>
      <c r="I301" t="s">
        <v>306</v>
      </c>
      <c r="J301" s="10">
        <v>46265</v>
      </c>
      <c r="L301" t="s">
        <v>308</v>
      </c>
    </row>
    <row r="302" spans="1:12" x14ac:dyDescent="0.25">
      <c r="A302" t="s">
        <v>191</v>
      </c>
      <c r="B302" t="s">
        <v>353</v>
      </c>
      <c r="C302" t="s">
        <v>420</v>
      </c>
      <c r="D302" t="s">
        <v>340</v>
      </c>
      <c r="E302" s="4">
        <v>150</v>
      </c>
      <c r="F302" t="s">
        <v>305</v>
      </c>
      <c r="G302" s="9">
        <v>5.5639</v>
      </c>
      <c r="H302" s="4">
        <v>834.585</v>
      </c>
      <c r="I302" t="s">
        <v>306</v>
      </c>
      <c r="J302" s="10">
        <v>46265</v>
      </c>
      <c r="L302" t="s">
        <v>308</v>
      </c>
    </row>
    <row r="303" spans="1:12" x14ac:dyDescent="0.25">
      <c r="A303" t="s">
        <v>191</v>
      </c>
      <c r="B303" t="s">
        <v>355</v>
      </c>
      <c r="C303" t="s">
        <v>356</v>
      </c>
      <c r="D303" t="s">
        <v>357</v>
      </c>
      <c r="E303" s="4">
        <v>228.375</v>
      </c>
      <c r="F303" t="s">
        <v>305</v>
      </c>
      <c r="G303" s="9">
        <v>5.5639</v>
      </c>
      <c r="H303" s="4">
        <v>1270.656</v>
      </c>
      <c r="I303" t="s">
        <v>306</v>
      </c>
      <c r="J303" s="10">
        <v>46265</v>
      </c>
      <c r="L303" t="s">
        <v>308</v>
      </c>
    </row>
    <row r="304" spans="1:12" x14ac:dyDescent="0.25">
      <c r="A304" t="s">
        <v>191</v>
      </c>
      <c r="B304" t="s">
        <v>398</v>
      </c>
      <c r="C304" t="s">
        <v>399</v>
      </c>
      <c r="D304" t="s">
        <v>400</v>
      </c>
      <c r="E304" s="4">
        <v>674</v>
      </c>
      <c r="F304" t="s">
        <v>372</v>
      </c>
      <c r="G304" s="9">
        <v>1</v>
      </c>
      <c r="H304" s="4">
        <v>674</v>
      </c>
      <c r="I304" t="s">
        <v>306</v>
      </c>
      <c r="J304" s="10">
        <v>46298</v>
      </c>
      <c r="L304" t="s">
        <v>308</v>
      </c>
    </row>
    <row r="305" spans="1:12" x14ac:dyDescent="0.25">
      <c r="A305" t="s">
        <v>191</v>
      </c>
      <c r="B305" t="s">
        <v>370</v>
      </c>
      <c r="C305" t="s">
        <v>423</v>
      </c>
      <c r="E305" s="4">
        <v>19184</v>
      </c>
      <c r="F305" t="s">
        <v>372</v>
      </c>
      <c r="G305" s="9">
        <v>1</v>
      </c>
      <c r="H305" s="4">
        <v>19184</v>
      </c>
      <c r="I305" t="s">
        <v>306</v>
      </c>
      <c r="J305" s="10">
        <v>46302</v>
      </c>
      <c r="K305" t="s">
        <v>439</v>
      </c>
      <c r="L305" t="s">
        <v>308</v>
      </c>
    </row>
    <row r="306" spans="1:12" x14ac:dyDescent="0.25">
      <c r="A306" t="s">
        <v>191</v>
      </c>
      <c r="B306" t="s">
        <v>425</v>
      </c>
      <c r="C306" t="s">
        <v>426</v>
      </c>
      <c r="D306" t="s">
        <v>427</v>
      </c>
      <c r="E306" s="4">
        <v>505</v>
      </c>
      <c r="F306" t="s">
        <v>372</v>
      </c>
      <c r="G306" s="9">
        <v>1</v>
      </c>
      <c r="H306" s="4">
        <v>505</v>
      </c>
      <c r="I306" t="s">
        <v>306</v>
      </c>
      <c r="J306" s="10">
        <v>46303</v>
      </c>
      <c r="L306" t="s">
        <v>308</v>
      </c>
    </row>
    <row r="307" spans="1:12" x14ac:dyDescent="0.25">
      <c r="A307" t="s">
        <v>191</v>
      </c>
      <c r="B307" t="s">
        <v>434</v>
      </c>
      <c r="C307" t="s">
        <v>435</v>
      </c>
      <c r="D307" t="s">
        <v>436</v>
      </c>
      <c r="E307" s="4">
        <v>622</v>
      </c>
      <c r="F307" t="s">
        <v>372</v>
      </c>
      <c r="G307" s="9">
        <v>1</v>
      </c>
      <c r="H307" s="4">
        <v>622</v>
      </c>
      <c r="I307" t="s">
        <v>306</v>
      </c>
      <c r="J307" s="10">
        <v>46304</v>
      </c>
      <c r="L307" t="s">
        <v>308</v>
      </c>
    </row>
    <row r="308" spans="1:12" x14ac:dyDescent="0.25">
      <c r="A308" t="s">
        <v>195</v>
      </c>
      <c r="B308" t="s">
        <v>303</v>
      </c>
      <c r="C308" t="s">
        <v>440</v>
      </c>
      <c r="E308" s="4">
        <v>22475</v>
      </c>
      <c r="F308" t="s">
        <v>305</v>
      </c>
      <c r="G308" s="9">
        <v>5.5389</v>
      </c>
      <c r="H308" s="4">
        <v>124486.778</v>
      </c>
      <c r="I308" t="s">
        <v>306</v>
      </c>
      <c r="J308" s="10">
        <v>46248</v>
      </c>
      <c r="K308" t="s">
        <v>441</v>
      </c>
      <c r="L308" t="s">
        <v>308</v>
      </c>
    </row>
    <row r="309" spans="1:12" x14ac:dyDescent="0.25">
      <c r="A309" t="s">
        <v>195</v>
      </c>
      <c r="B309" t="s">
        <v>309</v>
      </c>
      <c r="C309" t="s">
        <v>310</v>
      </c>
      <c r="E309" s="4">
        <v>2048</v>
      </c>
      <c r="F309" t="s">
        <v>305</v>
      </c>
      <c r="G309" s="9">
        <v>5.5389</v>
      </c>
      <c r="H309" s="4">
        <v>11343.667</v>
      </c>
      <c r="I309" t="s">
        <v>306</v>
      </c>
      <c r="J309" s="10">
        <v>46248</v>
      </c>
      <c r="K309" t="s">
        <v>441</v>
      </c>
      <c r="L309" t="s">
        <v>308</v>
      </c>
    </row>
    <row r="310" spans="1:12" x14ac:dyDescent="0.25">
      <c r="A310" t="s">
        <v>195</v>
      </c>
      <c r="B310" t="s">
        <v>311</v>
      </c>
      <c r="C310" t="s">
        <v>312</v>
      </c>
      <c r="E310" s="4">
        <v>159</v>
      </c>
      <c r="F310" t="s">
        <v>305</v>
      </c>
      <c r="G310" s="9">
        <v>5.5389</v>
      </c>
      <c r="H310" s="4">
        <v>880.685</v>
      </c>
      <c r="I310" t="s">
        <v>306</v>
      </c>
      <c r="J310" s="10">
        <v>46248</v>
      </c>
      <c r="L310" t="s">
        <v>308</v>
      </c>
    </row>
    <row r="311" spans="1:12" x14ac:dyDescent="0.25">
      <c r="A311" t="s">
        <v>195</v>
      </c>
      <c r="B311" t="s">
        <v>313</v>
      </c>
      <c r="C311" t="s">
        <v>314</v>
      </c>
      <c r="E311" s="4">
        <v>200</v>
      </c>
      <c r="F311" t="s">
        <v>305</v>
      </c>
      <c r="G311" s="9">
        <v>5.5389</v>
      </c>
      <c r="H311" s="4">
        <v>1107.78</v>
      </c>
      <c r="I311" t="s">
        <v>306</v>
      </c>
      <c r="J311" s="10">
        <v>46248</v>
      </c>
      <c r="L311" t="s">
        <v>308</v>
      </c>
    </row>
    <row r="312" spans="1:12" x14ac:dyDescent="0.25">
      <c r="A312" t="s">
        <v>195</v>
      </c>
      <c r="B312" t="s">
        <v>328</v>
      </c>
      <c r="C312" t="s">
        <v>350</v>
      </c>
      <c r="D312" t="s">
        <v>347</v>
      </c>
      <c r="E312" s="4">
        <v>712</v>
      </c>
      <c r="F312" t="s">
        <v>305</v>
      </c>
      <c r="G312" s="9">
        <v>5.534</v>
      </c>
      <c r="H312" s="4">
        <v>3940.208</v>
      </c>
      <c r="I312" t="s">
        <v>306</v>
      </c>
      <c r="J312" s="10">
        <v>46250</v>
      </c>
      <c r="L312" t="s">
        <v>308</v>
      </c>
    </row>
    <row r="313" spans="1:12" x14ac:dyDescent="0.25">
      <c r="A313" t="s">
        <v>195</v>
      </c>
      <c r="B313" t="s">
        <v>338</v>
      </c>
      <c r="C313" t="s">
        <v>339</v>
      </c>
      <c r="D313" t="s">
        <v>340</v>
      </c>
      <c r="E313" s="4">
        <v>75</v>
      </c>
      <c r="F313" t="s">
        <v>305</v>
      </c>
      <c r="G313" s="9">
        <v>5.5562</v>
      </c>
      <c r="H313" s="4">
        <v>416.715</v>
      </c>
      <c r="I313" t="s">
        <v>306</v>
      </c>
      <c r="J313" s="10">
        <v>46254</v>
      </c>
      <c r="L313" t="s">
        <v>308</v>
      </c>
    </row>
    <row r="314" spans="1:12" x14ac:dyDescent="0.25">
      <c r="A314" t="s">
        <v>195</v>
      </c>
      <c r="B314" t="s">
        <v>30</v>
      </c>
      <c r="C314" t="s">
        <v>442</v>
      </c>
      <c r="D314" t="s">
        <v>368</v>
      </c>
      <c r="E314" s="4">
        <v>1070.25</v>
      </c>
      <c r="F314" t="s">
        <v>305</v>
      </c>
      <c r="G314" s="9">
        <v>5.5467</v>
      </c>
      <c r="H314" s="4">
        <v>5936.356</v>
      </c>
      <c r="I314" t="s">
        <v>306</v>
      </c>
      <c r="J314" s="10">
        <v>46259</v>
      </c>
      <c r="L314" t="s">
        <v>308</v>
      </c>
    </row>
    <row r="315" spans="1:12" x14ac:dyDescent="0.25">
      <c r="A315" t="s">
        <v>195</v>
      </c>
      <c r="B315" t="s">
        <v>353</v>
      </c>
      <c r="C315" t="s">
        <v>443</v>
      </c>
      <c r="D315" t="s">
        <v>340</v>
      </c>
      <c r="E315" s="4">
        <v>150</v>
      </c>
      <c r="F315" t="s">
        <v>305</v>
      </c>
      <c r="G315" s="9">
        <v>5.5467</v>
      </c>
      <c r="H315" s="4">
        <v>832.005</v>
      </c>
      <c r="I315" t="s">
        <v>306</v>
      </c>
      <c r="J315" s="10">
        <v>46259</v>
      </c>
      <c r="L315" t="s">
        <v>308</v>
      </c>
    </row>
    <row r="316" spans="1:12" x14ac:dyDescent="0.25">
      <c r="A316" t="s">
        <v>195</v>
      </c>
      <c r="B316" t="s">
        <v>355</v>
      </c>
      <c r="C316" t="s">
        <v>356</v>
      </c>
      <c r="D316" t="s">
        <v>357</v>
      </c>
      <c r="E316" s="4">
        <v>337.125</v>
      </c>
      <c r="F316" t="s">
        <v>305</v>
      </c>
      <c r="G316" s="9">
        <v>5.5467</v>
      </c>
      <c r="H316" s="4">
        <v>1869.931</v>
      </c>
      <c r="I316" t="s">
        <v>306</v>
      </c>
      <c r="J316" s="10">
        <v>46259</v>
      </c>
      <c r="L316" t="s">
        <v>308</v>
      </c>
    </row>
    <row r="317" spans="1:12" x14ac:dyDescent="0.25">
      <c r="A317" t="s">
        <v>195</v>
      </c>
      <c r="B317" t="s">
        <v>398</v>
      </c>
      <c r="C317" t="s">
        <v>399</v>
      </c>
      <c r="D317" t="s">
        <v>400</v>
      </c>
      <c r="E317" s="4">
        <v>633</v>
      </c>
      <c r="F317" t="s">
        <v>372</v>
      </c>
      <c r="G317" s="9">
        <v>1</v>
      </c>
      <c r="H317" s="4">
        <v>633</v>
      </c>
      <c r="I317" t="s">
        <v>306</v>
      </c>
      <c r="J317" s="10">
        <v>46293</v>
      </c>
      <c r="L317" t="s">
        <v>308</v>
      </c>
    </row>
    <row r="318" spans="1:12" x14ac:dyDescent="0.25">
      <c r="A318" t="s">
        <v>195</v>
      </c>
      <c r="B318" t="s">
        <v>370</v>
      </c>
      <c r="C318" t="s">
        <v>423</v>
      </c>
      <c r="E318" s="4">
        <v>28319</v>
      </c>
      <c r="F318" t="s">
        <v>372</v>
      </c>
      <c r="G318" s="9">
        <v>1</v>
      </c>
      <c r="H318" s="4">
        <v>28319</v>
      </c>
      <c r="I318" t="s">
        <v>306</v>
      </c>
      <c r="J318" s="10">
        <v>46297</v>
      </c>
      <c r="K318" t="s">
        <v>444</v>
      </c>
      <c r="L318" t="s">
        <v>308</v>
      </c>
    </row>
    <row r="319" spans="1:12" x14ac:dyDescent="0.25">
      <c r="A319" t="s">
        <v>195</v>
      </c>
      <c r="B319" t="s">
        <v>425</v>
      </c>
      <c r="C319" t="s">
        <v>426</v>
      </c>
      <c r="D319" t="s">
        <v>427</v>
      </c>
      <c r="E319" s="4">
        <v>418</v>
      </c>
      <c r="F319" t="s">
        <v>372</v>
      </c>
      <c r="G319" s="9">
        <v>1</v>
      </c>
      <c r="H319" s="4">
        <v>418</v>
      </c>
      <c r="I319" t="s">
        <v>306</v>
      </c>
      <c r="J319" s="10">
        <v>46298</v>
      </c>
      <c r="L319" t="s">
        <v>308</v>
      </c>
    </row>
    <row r="320" spans="1:12" x14ac:dyDescent="0.25">
      <c r="A320" t="s">
        <v>195</v>
      </c>
      <c r="B320" t="s">
        <v>434</v>
      </c>
      <c r="C320" t="s">
        <v>435</v>
      </c>
      <c r="D320" t="s">
        <v>436</v>
      </c>
      <c r="E320" s="4">
        <v>657</v>
      </c>
      <c r="F320" t="s">
        <v>372</v>
      </c>
      <c r="G320" s="9">
        <v>1</v>
      </c>
      <c r="H320" s="4">
        <v>657</v>
      </c>
      <c r="I320" t="s">
        <v>306</v>
      </c>
      <c r="J320" s="10">
        <v>46299</v>
      </c>
      <c r="L320" t="s">
        <v>308</v>
      </c>
    </row>
    <row r="321" spans="1:12" x14ac:dyDescent="0.25">
      <c r="A321" t="s">
        <v>195</v>
      </c>
      <c r="B321" t="s">
        <v>445</v>
      </c>
      <c r="C321" t="s">
        <v>445</v>
      </c>
      <c r="E321" s="4">
        <v>1615</v>
      </c>
      <c r="F321" t="s">
        <v>372</v>
      </c>
      <c r="G321" s="9">
        <v>1</v>
      </c>
      <c r="H321" s="4">
        <v>1615</v>
      </c>
      <c r="I321" t="s">
        <v>306</v>
      </c>
      <c r="J321" s="10">
        <v>46302</v>
      </c>
      <c r="L321" t="s">
        <v>308</v>
      </c>
    </row>
    <row r="322" spans="1:12" x14ac:dyDescent="0.25">
      <c r="A322" t="s">
        <v>200</v>
      </c>
      <c r="B322" t="s">
        <v>303</v>
      </c>
      <c r="C322" t="s">
        <v>446</v>
      </c>
      <c r="E322" s="4">
        <v>5500</v>
      </c>
      <c r="F322" t="s">
        <v>305</v>
      </c>
      <c r="G322" s="9">
        <v>5.5442</v>
      </c>
      <c r="H322" s="4">
        <v>30493.1</v>
      </c>
      <c r="I322" t="s">
        <v>306</v>
      </c>
      <c r="J322" s="10">
        <v>46247</v>
      </c>
      <c r="K322" t="s">
        <v>447</v>
      </c>
      <c r="L322" t="s">
        <v>308</v>
      </c>
    </row>
    <row r="323" spans="1:12" x14ac:dyDescent="0.25">
      <c r="A323" t="s">
        <v>200</v>
      </c>
      <c r="B323" t="s">
        <v>309</v>
      </c>
      <c r="C323" t="s">
        <v>310</v>
      </c>
      <c r="E323" s="4">
        <v>690</v>
      </c>
      <c r="F323" t="s">
        <v>305</v>
      </c>
      <c r="G323" s="9">
        <v>5.5442</v>
      </c>
      <c r="H323" s="4">
        <v>3825.498</v>
      </c>
      <c r="I323" t="s">
        <v>306</v>
      </c>
      <c r="J323" s="10">
        <v>46247</v>
      </c>
      <c r="K323" t="s">
        <v>447</v>
      </c>
      <c r="L323" t="s">
        <v>308</v>
      </c>
    </row>
    <row r="324" spans="1:12" x14ac:dyDescent="0.25">
      <c r="A324" t="s">
        <v>200</v>
      </c>
      <c r="B324" t="s">
        <v>311</v>
      </c>
      <c r="C324" t="s">
        <v>312</v>
      </c>
      <c r="E324" s="4">
        <v>135</v>
      </c>
      <c r="F324" t="s">
        <v>305</v>
      </c>
      <c r="G324" s="9">
        <v>5.5442</v>
      </c>
      <c r="H324" s="4">
        <v>748.467</v>
      </c>
      <c r="I324" t="s">
        <v>306</v>
      </c>
      <c r="J324" s="10">
        <v>46247</v>
      </c>
      <c r="L324" t="s">
        <v>308</v>
      </c>
    </row>
    <row r="325" spans="1:12" x14ac:dyDescent="0.25">
      <c r="A325" t="s">
        <v>200</v>
      </c>
      <c r="B325" t="s">
        <v>313</v>
      </c>
      <c r="C325" t="s">
        <v>314</v>
      </c>
      <c r="E325" s="4">
        <v>200</v>
      </c>
      <c r="F325" t="s">
        <v>305</v>
      </c>
      <c r="G325" s="9">
        <v>5.5442</v>
      </c>
      <c r="H325" s="4">
        <v>1108.84</v>
      </c>
      <c r="I325" t="s">
        <v>306</v>
      </c>
      <c r="J325" s="10">
        <v>46247</v>
      </c>
      <c r="L325" t="s">
        <v>308</v>
      </c>
    </row>
    <row r="326" spans="1:12" x14ac:dyDescent="0.25">
      <c r="A326" t="s">
        <v>200</v>
      </c>
      <c r="B326" t="s">
        <v>328</v>
      </c>
      <c r="C326" t="s">
        <v>335</v>
      </c>
      <c r="D326" t="s">
        <v>330</v>
      </c>
      <c r="E326" s="4">
        <v>258</v>
      </c>
      <c r="F326" t="s">
        <v>305</v>
      </c>
      <c r="G326" s="9">
        <v>5.5361</v>
      </c>
      <c r="H326" s="4">
        <v>1428.314</v>
      </c>
      <c r="I326" t="s">
        <v>306</v>
      </c>
      <c r="J326" s="10">
        <v>46249</v>
      </c>
      <c r="L326" t="s">
        <v>308</v>
      </c>
    </row>
    <row r="327" spans="1:12" x14ac:dyDescent="0.25">
      <c r="A327" t="s">
        <v>200</v>
      </c>
      <c r="B327" t="s">
        <v>338</v>
      </c>
      <c r="C327" t="s">
        <v>339</v>
      </c>
      <c r="D327" t="s">
        <v>340</v>
      </c>
      <c r="E327" s="4">
        <v>75</v>
      </c>
      <c r="F327" t="s">
        <v>305</v>
      </c>
      <c r="G327" s="9">
        <v>5.5483</v>
      </c>
      <c r="H327" s="4">
        <v>416.123</v>
      </c>
      <c r="I327" t="s">
        <v>306</v>
      </c>
      <c r="J327" s="10">
        <v>46253</v>
      </c>
      <c r="L327" t="s">
        <v>308</v>
      </c>
    </row>
    <row r="328" spans="1:12" x14ac:dyDescent="0.25">
      <c r="A328" t="s">
        <v>200</v>
      </c>
      <c r="B328" t="s">
        <v>30</v>
      </c>
      <c r="C328" t="s">
        <v>442</v>
      </c>
      <c r="D328" t="s">
        <v>368</v>
      </c>
      <c r="E328" s="4">
        <v>1070.25</v>
      </c>
      <c r="F328" t="s">
        <v>305</v>
      </c>
      <c r="G328" s="9">
        <v>5.5467</v>
      </c>
      <c r="H328" s="4">
        <v>5936.356</v>
      </c>
      <c r="I328" t="s">
        <v>306</v>
      </c>
      <c r="J328" s="10">
        <v>46259</v>
      </c>
      <c r="L328" t="s">
        <v>308</v>
      </c>
    </row>
    <row r="329" spans="1:12" x14ac:dyDescent="0.25">
      <c r="A329" t="s">
        <v>200</v>
      </c>
      <c r="B329" t="s">
        <v>353</v>
      </c>
      <c r="C329" t="s">
        <v>443</v>
      </c>
      <c r="D329" t="s">
        <v>340</v>
      </c>
      <c r="E329" s="4">
        <v>150</v>
      </c>
      <c r="F329" t="s">
        <v>305</v>
      </c>
      <c r="G329" s="9">
        <v>5.5467</v>
      </c>
      <c r="H329" s="4">
        <v>832.005</v>
      </c>
      <c r="I329" t="s">
        <v>306</v>
      </c>
      <c r="J329" s="10">
        <v>46259</v>
      </c>
      <c r="L329" t="s">
        <v>308</v>
      </c>
    </row>
    <row r="330" spans="1:12" x14ac:dyDescent="0.25">
      <c r="A330" t="s">
        <v>200</v>
      </c>
      <c r="B330" t="s">
        <v>355</v>
      </c>
      <c r="C330" t="s">
        <v>356</v>
      </c>
      <c r="D330" t="s">
        <v>357</v>
      </c>
      <c r="E330" s="4">
        <v>82.5</v>
      </c>
      <c r="F330" t="s">
        <v>305</v>
      </c>
      <c r="G330" s="9">
        <v>5.5467</v>
      </c>
      <c r="H330" s="4">
        <v>457.603</v>
      </c>
      <c r="I330" t="s">
        <v>306</v>
      </c>
      <c r="J330" s="10">
        <v>46259</v>
      </c>
      <c r="L330" t="s">
        <v>308</v>
      </c>
    </row>
    <row r="331" spans="1:12" x14ac:dyDescent="0.25">
      <c r="A331" t="s">
        <v>200</v>
      </c>
      <c r="B331" t="s">
        <v>398</v>
      </c>
      <c r="C331" t="s">
        <v>399</v>
      </c>
      <c r="D331" t="s">
        <v>400</v>
      </c>
      <c r="E331" s="4">
        <v>579</v>
      </c>
      <c r="F331" t="s">
        <v>372</v>
      </c>
      <c r="G331" s="9">
        <v>1</v>
      </c>
      <c r="H331" s="4">
        <v>579</v>
      </c>
      <c r="I331" t="s">
        <v>306</v>
      </c>
      <c r="J331" s="10">
        <v>46292</v>
      </c>
      <c r="L331" t="s">
        <v>308</v>
      </c>
    </row>
    <row r="332" spans="1:12" x14ac:dyDescent="0.25">
      <c r="A332" t="s">
        <v>200</v>
      </c>
      <c r="B332" t="s">
        <v>370</v>
      </c>
      <c r="C332" t="s">
        <v>423</v>
      </c>
      <c r="E332" s="4">
        <v>6930</v>
      </c>
      <c r="F332" t="s">
        <v>372</v>
      </c>
      <c r="G332" s="9">
        <v>1</v>
      </c>
      <c r="H332" s="4">
        <v>6930</v>
      </c>
      <c r="I332" t="s">
        <v>306</v>
      </c>
      <c r="J332" s="10">
        <v>46296</v>
      </c>
      <c r="K332" t="s">
        <v>448</v>
      </c>
      <c r="L332" t="s">
        <v>308</v>
      </c>
    </row>
    <row r="333" spans="1:12" x14ac:dyDescent="0.25">
      <c r="A333" t="s">
        <v>200</v>
      </c>
      <c r="B333" t="s">
        <v>425</v>
      </c>
      <c r="C333" t="s">
        <v>426</v>
      </c>
      <c r="D333" t="s">
        <v>427</v>
      </c>
      <c r="E333" s="4">
        <v>444</v>
      </c>
      <c r="F333" t="s">
        <v>372</v>
      </c>
      <c r="G333" s="9">
        <v>1</v>
      </c>
      <c r="H333" s="4">
        <v>444</v>
      </c>
      <c r="I333" t="s">
        <v>306</v>
      </c>
      <c r="J333" s="10">
        <v>46297</v>
      </c>
      <c r="L333" t="s">
        <v>308</v>
      </c>
    </row>
    <row r="334" spans="1:12" x14ac:dyDescent="0.25">
      <c r="A334" t="s">
        <v>200</v>
      </c>
      <c r="B334" t="s">
        <v>434</v>
      </c>
      <c r="C334" t="s">
        <v>435</v>
      </c>
      <c r="D334" t="s">
        <v>436</v>
      </c>
      <c r="E334" s="4">
        <v>480</v>
      </c>
      <c r="F334" t="s">
        <v>372</v>
      </c>
      <c r="G334" s="9">
        <v>1</v>
      </c>
      <c r="H334" s="4">
        <v>480</v>
      </c>
      <c r="I334" t="s">
        <v>306</v>
      </c>
      <c r="J334" s="10">
        <v>46298</v>
      </c>
      <c r="L334" t="s">
        <v>308</v>
      </c>
    </row>
    <row r="335" spans="1:12" x14ac:dyDescent="0.25">
      <c r="A335" t="s">
        <v>200</v>
      </c>
      <c r="B335" t="s">
        <v>449</v>
      </c>
      <c r="C335" t="s">
        <v>450</v>
      </c>
      <c r="D335" t="s">
        <v>451</v>
      </c>
      <c r="E335" s="4">
        <v>1626</v>
      </c>
      <c r="F335" t="s">
        <v>372</v>
      </c>
      <c r="G335" s="9">
        <v>1</v>
      </c>
      <c r="H335" s="4">
        <v>1626</v>
      </c>
      <c r="I335" t="s">
        <v>306</v>
      </c>
      <c r="J335" s="10">
        <v>46301</v>
      </c>
      <c r="L335" t="s">
        <v>308</v>
      </c>
    </row>
    <row r="336" spans="1:12" x14ac:dyDescent="0.25">
      <c r="A336" t="s">
        <v>200</v>
      </c>
      <c r="B336" t="s">
        <v>445</v>
      </c>
      <c r="C336" t="s">
        <v>445</v>
      </c>
      <c r="E336" s="4">
        <v>2853</v>
      </c>
      <c r="F336" t="s">
        <v>372</v>
      </c>
      <c r="G336" s="9">
        <v>1</v>
      </c>
      <c r="H336" s="4">
        <v>2853</v>
      </c>
      <c r="I336" t="s">
        <v>306</v>
      </c>
      <c r="J336" s="10">
        <v>46301</v>
      </c>
      <c r="L336" t="s">
        <v>308</v>
      </c>
    </row>
    <row r="337" spans="1:12" x14ac:dyDescent="0.25">
      <c r="A337" t="s">
        <v>204</v>
      </c>
      <c r="B337" t="s">
        <v>303</v>
      </c>
      <c r="C337" t="s">
        <v>452</v>
      </c>
      <c r="E337" s="4">
        <v>10150</v>
      </c>
      <c r="F337" t="s">
        <v>305</v>
      </c>
      <c r="G337" s="9">
        <v>5.5378</v>
      </c>
      <c r="H337" s="4">
        <v>56208.67</v>
      </c>
      <c r="I337" t="s">
        <v>306</v>
      </c>
      <c r="J337" s="10">
        <v>46251</v>
      </c>
      <c r="K337" t="s">
        <v>453</v>
      </c>
      <c r="L337" t="s">
        <v>308</v>
      </c>
    </row>
    <row r="338" spans="1:12" x14ac:dyDescent="0.25">
      <c r="A338" t="s">
        <v>204</v>
      </c>
      <c r="B338" t="s">
        <v>309</v>
      </c>
      <c r="C338" t="s">
        <v>310</v>
      </c>
      <c r="E338" s="4">
        <v>1062</v>
      </c>
      <c r="F338" t="s">
        <v>305</v>
      </c>
      <c r="G338" s="9">
        <v>5.5378</v>
      </c>
      <c r="H338" s="4">
        <v>5881.144</v>
      </c>
      <c r="I338" t="s">
        <v>306</v>
      </c>
      <c r="J338" s="10">
        <v>46251</v>
      </c>
      <c r="K338" t="s">
        <v>453</v>
      </c>
      <c r="L338" t="s">
        <v>308</v>
      </c>
    </row>
    <row r="339" spans="1:12" x14ac:dyDescent="0.25">
      <c r="A339" t="s">
        <v>204</v>
      </c>
      <c r="B339" t="s">
        <v>311</v>
      </c>
      <c r="C339" t="s">
        <v>312</v>
      </c>
      <c r="E339" s="4">
        <v>159</v>
      </c>
      <c r="F339" t="s">
        <v>305</v>
      </c>
      <c r="G339" s="9">
        <v>5.5378</v>
      </c>
      <c r="H339" s="4">
        <v>880.51</v>
      </c>
      <c r="I339" t="s">
        <v>306</v>
      </c>
      <c r="J339" s="10">
        <v>46251</v>
      </c>
      <c r="L339" t="s">
        <v>308</v>
      </c>
    </row>
    <row r="340" spans="1:12" x14ac:dyDescent="0.25">
      <c r="A340" t="s">
        <v>204</v>
      </c>
      <c r="B340" t="s">
        <v>313</v>
      </c>
      <c r="C340" t="s">
        <v>314</v>
      </c>
      <c r="E340" s="4">
        <v>200</v>
      </c>
      <c r="F340" t="s">
        <v>305</v>
      </c>
      <c r="G340" s="9">
        <v>5.5378</v>
      </c>
      <c r="H340" s="4">
        <v>1107.56</v>
      </c>
      <c r="I340" t="s">
        <v>306</v>
      </c>
      <c r="J340" s="10">
        <v>46251</v>
      </c>
      <c r="L340" t="s">
        <v>308</v>
      </c>
    </row>
    <row r="341" spans="1:12" x14ac:dyDescent="0.25">
      <c r="A341" t="s">
        <v>204</v>
      </c>
      <c r="B341" t="s">
        <v>328</v>
      </c>
      <c r="C341" t="s">
        <v>394</v>
      </c>
      <c r="D341" t="s">
        <v>330</v>
      </c>
      <c r="E341" s="4">
        <v>841</v>
      </c>
      <c r="F341" t="s">
        <v>305</v>
      </c>
      <c r="G341" s="9">
        <v>5.5483</v>
      </c>
      <c r="H341" s="4">
        <v>4666.12</v>
      </c>
      <c r="I341" t="s">
        <v>306</v>
      </c>
      <c r="J341" s="10">
        <v>46253</v>
      </c>
      <c r="L341" t="s">
        <v>308</v>
      </c>
    </row>
    <row r="342" spans="1:12" x14ac:dyDescent="0.25">
      <c r="A342" t="s">
        <v>204</v>
      </c>
      <c r="B342" t="s">
        <v>338</v>
      </c>
      <c r="C342" t="s">
        <v>339</v>
      </c>
      <c r="D342" t="s">
        <v>340</v>
      </c>
      <c r="E342" s="4">
        <v>75</v>
      </c>
      <c r="F342" t="s">
        <v>305</v>
      </c>
      <c r="G342" s="9">
        <v>5.5495</v>
      </c>
      <c r="H342" s="4">
        <v>416.213</v>
      </c>
      <c r="I342" t="s">
        <v>306</v>
      </c>
      <c r="J342" s="10">
        <v>46257</v>
      </c>
      <c r="L342" t="s">
        <v>308</v>
      </c>
    </row>
    <row r="343" spans="1:12" x14ac:dyDescent="0.25">
      <c r="A343" t="s">
        <v>204</v>
      </c>
      <c r="B343" t="s">
        <v>30</v>
      </c>
      <c r="C343" t="s">
        <v>442</v>
      </c>
      <c r="D343" t="s">
        <v>368</v>
      </c>
      <c r="E343" s="4">
        <v>1070.25</v>
      </c>
      <c r="F343" t="s">
        <v>305</v>
      </c>
      <c r="G343" s="9">
        <v>5.5467</v>
      </c>
      <c r="H343" s="4">
        <v>5936.356</v>
      </c>
      <c r="I343" t="s">
        <v>306</v>
      </c>
      <c r="J343" s="10">
        <v>46259</v>
      </c>
      <c r="L343" t="s">
        <v>308</v>
      </c>
    </row>
    <row r="344" spans="1:12" x14ac:dyDescent="0.25">
      <c r="A344" t="s">
        <v>204</v>
      </c>
      <c r="B344" t="s">
        <v>353</v>
      </c>
      <c r="C344" t="s">
        <v>443</v>
      </c>
      <c r="D344" t="s">
        <v>340</v>
      </c>
      <c r="E344" s="4">
        <v>150</v>
      </c>
      <c r="F344" t="s">
        <v>305</v>
      </c>
      <c r="G344" s="9">
        <v>5.5467</v>
      </c>
      <c r="H344" s="4">
        <v>832.005</v>
      </c>
      <c r="I344" t="s">
        <v>306</v>
      </c>
      <c r="J344" s="10">
        <v>46259</v>
      </c>
      <c r="L344" t="s">
        <v>308</v>
      </c>
    </row>
    <row r="345" spans="1:12" x14ac:dyDescent="0.25">
      <c r="A345" t="s">
        <v>204</v>
      </c>
      <c r="B345" t="s">
        <v>355</v>
      </c>
      <c r="C345" t="s">
        <v>356</v>
      </c>
      <c r="D345" t="s">
        <v>357</v>
      </c>
      <c r="E345" s="4">
        <v>152.25</v>
      </c>
      <c r="F345" t="s">
        <v>305</v>
      </c>
      <c r="G345" s="9">
        <v>5.5467</v>
      </c>
      <c r="H345" s="4">
        <v>844.485</v>
      </c>
      <c r="I345" t="s">
        <v>306</v>
      </c>
      <c r="J345" s="10">
        <v>46259</v>
      </c>
      <c r="L345" t="s">
        <v>308</v>
      </c>
    </row>
    <row r="346" spans="1:12" x14ac:dyDescent="0.25">
      <c r="A346" t="s">
        <v>204</v>
      </c>
      <c r="B346" t="s">
        <v>398</v>
      </c>
      <c r="C346" t="s">
        <v>399</v>
      </c>
      <c r="D346" t="s">
        <v>400</v>
      </c>
      <c r="E346" s="4">
        <v>595</v>
      </c>
      <c r="F346" t="s">
        <v>372</v>
      </c>
      <c r="G346" s="9">
        <v>1</v>
      </c>
      <c r="H346" s="4">
        <v>595</v>
      </c>
      <c r="I346" t="s">
        <v>306</v>
      </c>
      <c r="J346" s="10">
        <v>46296</v>
      </c>
      <c r="L346" t="s">
        <v>308</v>
      </c>
    </row>
    <row r="347" spans="1:12" x14ac:dyDescent="0.25">
      <c r="A347" t="s">
        <v>204</v>
      </c>
      <c r="B347" t="s">
        <v>370</v>
      </c>
      <c r="C347" t="s">
        <v>423</v>
      </c>
      <c r="E347" s="4">
        <v>12789</v>
      </c>
      <c r="F347" t="s">
        <v>372</v>
      </c>
      <c r="G347" s="9">
        <v>1</v>
      </c>
      <c r="H347" s="4">
        <v>12789</v>
      </c>
      <c r="I347" t="s">
        <v>306</v>
      </c>
      <c r="J347" s="10">
        <v>46300</v>
      </c>
      <c r="K347" t="s">
        <v>454</v>
      </c>
      <c r="L347" t="s">
        <v>308</v>
      </c>
    </row>
    <row r="348" spans="1:12" x14ac:dyDescent="0.25">
      <c r="A348" t="s">
        <v>204</v>
      </c>
      <c r="B348" t="s">
        <v>425</v>
      </c>
      <c r="C348" t="s">
        <v>426</v>
      </c>
      <c r="D348" t="s">
        <v>427</v>
      </c>
      <c r="E348" s="4">
        <v>501</v>
      </c>
      <c r="F348" t="s">
        <v>372</v>
      </c>
      <c r="G348" s="9">
        <v>1</v>
      </c>
      <c r="H348" s="4">
        <v>501</v>
      </c>
      <c r="I348" t="s">
        <v>306</v>
      </c>
      <c r="J348" s="10">
        <v>46301</v>
      </c>
      <c r="L348" t="s">
        <v>308</v>
      </c>
    </row>
    <row r="349" spans="1:12" x14ac:dyDescent="0.25">
      <c r="A349" t="s">
        <v>204</v>
      </c>
      <c r="B349" t="s">
        <v>434</v>
      </c>
      <c r="C349" t="s">
        <v>435</v>
      </c>
      <c r="D349" t="s">
        <v>436</v>
      </c>
      <c r="E349" s="4">
        <v>587</v>
      </c>
      <c r="F349" t="s">
        <v>372</v>
      </c>
      <c r="G349" s="9">
        <v>1</v>
      </c>
      <c r="H349" s="4">
        <v>587</v>
      </c>
      <c r="I349" t="s">
        <v>306</v>
      </c>
      <c r="J349" s="10">
        <v>46302</v>
      </c>
      <c r="L349" t="s">
        <v>308</v>
      </c>
    </row>
    <row r="350" spans="1:12" x14ac:dyDescent="0.25">
      <c r="A350" t="s">
        <v>204</v>
      </c>
      <c r="B350" t="s">
        <v>449</v>
      </c>
      <c r="C350" t="s">
        <v>450</v>
      </c>
      <c r="D350" t="s">
        <v>451</v>
      </c>
      <c r="E350" s="4">
        <v>2849</v>
      </c>
      <c r="F350" t="s">
        <v>372</v>
      </c>
      <c r="G350" s="9">
        <v>1</v>
      </c>
      <c r="H350" s="4">
        <v>2849</v>
      </c>
      <c r="I350" t="s">
        <v>306</v>
      </c>
      <c r="J350" s="10">
        <v>46305</v>
      </c>
      <c r="L350" t="s">
        <v>308</v>
      </c>
    </row>
    <row r="351" spans="1:12" x14ac:dyDescent="0.25">
      <c r="A351" t="s">
        <v>204</v>
      </c>
      <c r="B351" t="s">
        <v>445</v>
      </c>
      <c r="C351" t="s">
        <v>445</v>
      </c>
      <c r="E351" s="4">
        <v>2974</v>
      </c>
      <c r="F351" t="s">
        <v>372</v>
      </c>
      <c r="G351" s="9">
        <v>1</v>
      </c>
      <c r="H351" s="4">
        <v>2974</v>
      </c>
      <c r="I351" t="s">
        <v>306</v>
      </c>
      <c r="J351" s="10">
        <v>46305</v>
      </c>
      <c r="L351" t="s">
        <v>308</v>
      </c>
    </row>
    <row r="352" spans="1:12" x14ac:dyDescent="0.25">
      <c r="A352" t="s">
        <v>208</v>
      </c>
      <c r="B352" t="s">
        <v>303</v>
      </c>
      <c r="C352" t="s">
        <v>455</v>
      </c>
      <c r="E352" s="4">
        <v>12200</v>
      </c>
      <c r="F352" t="s">
        <v>305</v>
      </c>
      <c r="G352" s="9">
        <v>5.534</v>
      </c>
      <c r="H352" s="4">
        <v>67514.8</v>
      </c>
      <c r="I352" t="s">
        <v>306</v>
      </c>
      <c r="J352" s="10">
        <v>46250</v>
      </c>
      <c r="K352" t="s">
        <v>456</v>
      </c>
      <c r="L352" t="s">
        <v>308</v>
      </c>
    </row>
    <row r="353" spans="1:12" x14ac:dyDescent="0.25">
      <c r="A353" t="s">
        <v>208</v>
      </c>
      <c r="B353" t="s">
        <v>309</v>
      </c>
      <c r="C353" t="s">
        <v>310</v>
      </c>
      <c r="E353" s="4">
        <v>1226</v>
      </c>
      <c r="F353" t="s">
        <v>305</v>
      </c>
      <c r="G353" s="9">
        <v>5.534</v>
      </c>
      <c r="H353" s="4">
        <v>6784.684</v>
      </c>
      <c r="I353" t="s">
        <v>306</v>
      </c>
      <c r="J353" s="10">
        <v>46250</v>
      </c>
      <c r="K353" t="s">
        <v>456</v>
      </c>
      <c r="L353" t="s">
        <v>308</v>
      </c>
    </row>
    <row r="354" spans="1:12" x14ac:dyDescent="0.25">
      <c r="A354" t="s">
        <v>208</v>
      </c>
      <c r="B354" t="s">
        <v>311</v>
      </c>
      <c r="C354" t="s">
        <v>312</v>
      </c>
      <c r="E354" s="4">
        <v>159</v>
      </c>
      <c r="F354" t="s">
        <v>305</v>
      </c>
      <c r="G354" s="9">
        <v>5.534</v>
      </c>
      <c r="H354" s="4">
        <v>879.906</v>
      </c>
      <c r="I354" t="s">
        <v>306</v>
      </c>
      <c r="J354" s="10">
        <v>46250</v>
      </c>
      <c r="L354" t="s">
        <v>308</v>
      </c>
    </row>
    <row r="355" spans="1:12" x14ac:dyDescent="0.25">
      <c r="A355" t="s">
        <v>208</v>
      </c>
      <c r="B355" t="s">
        <v>313</v>
      </c>
      <c r="C355" t="s">
        <v>314</v>
      </c>
      <c r="E355" s="4">
        <v>200</v>
      </c>
      <c r="F355" t="s">
        <v>305</v>
      </c>
      <c r="G355" s="9">
        <v>5.534</v>
      </c>
      <c r="H355" s="4">
        <v>1106.8</v>
      </c>
      <c r="I355" t="s">
        <v>306</v>
      </c>
      <c r="J355" s="10">
        <v>46250</v>
      </c>
      <c r="L355" t="s">
        <v>308</v>
      </c>
    </row>
    <row r="356" spans="1:12" x14ac:dyDescent="0.25">
      <c r="A356" t="s">
        <v>208</v>
      </c>
      <c r="B356" t="s">
        <v>328</v>
      </c>
      <c r="C356" t="s">
        <v>394</v>
      </c>
      <c r="D356" t="s">
        <v>330</v>
      </c>
      <c r="E356" s="4">
        <v>678</v>
      </c>
      <c r="F356" t="s">
        <v>305</v>
      </c>
      <c r="G356" s="9">
        <v>5.5432</v>
      </c>
      <c r="H356" s="4">
        <v>3758.29</v>
      </c>
      <c r="I356" t="s">
        <v>306</v>
      </c>
      <c r="J356" s="10">
        <v>46252</v>
      </c>
      <c r="L356" t="s">
        <v>308</v>
      </c>
    </row>
    <row r="357" spans="1:12" x14ac:dyDescent="0.25">
      <c r="A357" t="s">
        <v>208</v>
      </c>
      <c r="B357" t="s">
        <v>338</v>
      </c>
      <c r="C357" t="s">
        <v>339</v>
      </c>
      <c r="D357" t="s">
        <v>340</v>
      </c>
      <c r="E357" s="4">
        <v>75</v>
      </c>
      <c r="F357" t="s">
        <v>305</v>
      </c>
      <c r="G357" s="9">
        <v>5.5547</v>
      </c>
      <c r="H357" s="4">
        <v>416.603</v>
      </c>
      <c r="I357" t="s">
        <v>306</v>
      </c>
      <c r="J357" s="10">
        <v>46256</v>
      </c>
      <c r="L357" t="s">
        <v>308</v>
      </c>
    </row>
    <row r="358" spans="1:12" x14ac:dyDescent="0.25">
      <c r="A358" t="s">
        <v>208</v>
      </c>
      <c r="B358" t="s">
        <v>30</v>
      </c>
      <c r="C358" t="s">
        <v>442</v>
      </c>
      <c r="D358" t="s">
        <v>368</v>
      </c>
      <c r="E358" s="4">
        <v>1070.25</v>
      </c>
      <c r="F358" t="s">
        <v>305</v>
      </c>
      <c r="G358" s="9">
        <v>5.5467</v>
      </c>
      <c r="H358" s="4">
        <v>5936.356</v>
      </c>
      <c r="I358" t="s">
        <v>306</v>
      </c>
      <c r="J358" s="10">
        <v>46259</v>
      </c>
      <c r="L358" t="s">
        <v>308</v>
      </c>
    </row>
    <row r="359" spans="1:12" x14ac:dyDescent="0.25">
      <c r="A359" t="s">
        <v>208</v>
      </c>
      <c r="B359" t="s">
        <v>353</v>
      </c>
      <c r="C359" t="s">
        <v>443</v>
      </c>
      <c r="D359" t="s">
        <v>340</v>
      </c>
      <c r="E359" s="4">
        <v>150</v>
      </c>
      <c r="F359" t="s">
        <v>305</v>
      </c>
      <c r="G359" s="9">
        <v>5.5467</v>
      </c>
      <c r="H359" s="4">
        <v>832.005</v>
      </c>
      <c r="I359" t="s">
        <v>306</v>
      </c>
      <c r="J359" s="10">
        <v>46259</v>
      </c>
      <c r="L359" t="s">
        <v>308</v>
      </c>
    </row>
    <row r="360" spans="1:12" x14ac:dyDescent="0.25">
      <c r="A360" t="s">
        <v>208</v>
      </c>
      <c r="B360" t="s">
        <v>355</v>
      </c>
      <c r="C360" t="s">
        <v>356</v>
      </c>
      <c r="D360" t="s">
        <v>357</v>
      </c>
      <c r="E360" s="4">
        <v>183</v>
      </c>
      <c r="F360" t="s">
        <v>305</v>
      </c>
      <c r="G360" s="9">
        <v>5.5467</v>
      </c>
      <c r="H360" s="4">
        <v>1015.046</v>
      </c>
      <c r="I360" t="s">
        <v>306</v>
      </c>
      <c r="J360" s="10">
        <v>46259</v>
      </c>
      <c r="L360" t="s">
        <v>308</v>
      </c>
    </row>
    <row r="361" spans="1:12" x14ac:dyDescent="0.25">
      <c r="A361" t="s">
        <v>208</v>
      </c>
      <c r="B361" t="s">
        <v>398</v>
      </c>
      <c r="C361" t="s">
        <v>399</v>
      </c>
      <c r="D361" t="s">
        <v>400</v>
      </c>
      <c r="E361" s="4">
        <v>632</v>
      </c>
      <c r="F361" t="s">
        <v>372</v>
      </c>
      <c r="G361" s="9">
        <v>1</v>
      </c>
      <c r="H361" s="4">
        <v>632</v>
      </c>
      <c r="I361" t="s">
        <v>306</v>
      </c>
      <c r="J361" s="10">
        <v>46295</v>
      </c>
      <c r="L361" t="s">
        <v>308</v>
      </c>
    </row>
    <row r="362" spans="1:12" x14ac:dyDescent="0.25">
      <c r="A362" t="s">
        <v>208</v>
      </c>
      <c r="B362" t="s">
        <v>370</v>
      </c>
      <c r="C362" t="s">
        <v>423</v>
      </c>
      <c r="E362" s="4">
        <v>15372</v>
      </c>
      <c r="F362" t="s">
        <v>372</v>
      </c>
      <c r="G362" s="9">
        <v>1</v>
      </c>
      <c r="H362" s="4">
        <v>15372</v>
      </c>
      <c r="I362" t="s">
        <v>306</v>
      </c>
      <c r="J362" s="10">
        <v>46299</v>
      </c>
      <c r="K362" t="s">
        <v>457</v>
      </c>
      <c r="L362" t="s">
        <v>308</v>
      </c>
    </row>
    <row r="363" spans="1:12" x14ac:dyDescent="0.25">
      <c r="A363" t="s">
        <v>208</v>
      </c>
      <c r="B363" t="s">
        <v>425</v>
      </c>
      <c r="C363" t="s">
        <v>426</v>
      </c>
      <c r="D363" t="s">
        <v>427</v>
      </c>
      <c r="E363" s="4">
        <v>383</v>
      </c>
      <c r="F363" t="s">
        <v>372</v>
      </c>
      <c r="G363" s="9">
        <v>1</v>
      </c>
      <c r="H363" s="4">
        <v>383</v>
      </c>
      <c r="I363" t="s">
        <v>306</v>
      </c>
      <c r="J363" s="10">
        <v>46300</v>
      </c>
      <c r="L363" t="s">
        <v>308</v>
      </c>
    </row>
    <row r="364" spans="1:12" x14ac:dyDescent="0.25">
      <c r="A364" t="s">
        <v>208</v>
      </c>
      <c r="B364" t="s">
        <v>434</v>
      </c>
      <c r="C364" t="s">
        <v>435</v>
      </c>
      <c r="D364" t="s">
        <v>436</v>
      </c>
      <c r="E364" s="4">
        <v>661</v>
      </c>
      <c r="F364" t="s">
        <v>372</v>
      </c>
      <c r="G364" s="9">
        <v>1</v>
      </c>
      <c r="H364" s="4">
        <v>661</v>
      </c>
      <c r="I364" t="s">
        <v>306</v>
      </c>
      <c r="J364" s="10">
        <v>46301</v>
      </c>
      <c r="L364" t="s">
        <v>308</v>
      </c>
    </row>
    <row r="365" spans="1:12" x14ac:dyDescent="0.25">
      <c r="A365" t="s">
        <v>208</v>
      </c>
      <c r="B365" t="s">
        <v>449</v>
      </c>
      <c r="C365" t="s">
        <v>450</v>
      </c>
      <c r="D365" t="s">
        <v>451</v>
      </c>
      <c r="E365" s="4">
        <v>6246</v>
      </c>
      <c r="F365" t="s">
        <v>372</v>
      </c>
      <c r="G365" s="9">
        <v>1</v>
      </c>
      <c r="H365" s="4">
        <v>6246</v>
      </c>
      <c r="I365" t="s">
        <v>306</v>
      </c>
      <c r="J365" s="10">
        <v>46304</v>
      </c>
      <c r="L365" t="s">
        <v>308</v>
      </c>
    </row>
    <row r="366" spans="1:12" x14ac:dyDescent="0.25">
      <c r="A366" t="s">
        <v>208</v>
      </c>
      <c r="B366" t="s">
        <v>445</v>
      </c>
      <c r="C366" t="s">
        <v>445</v>
      </c>
      <c r="E366" s="4">
        <v>1507</v>
      </c>
      <c r="F366" t="s">
        <v>372</v>
      </c>
      <c r="G366" s="9">
        <v>1</v>
      </c>
      <c r="H366" s="4">
        <v>1507</v>
      </c>
      <c r="I366" t="s">
        <v>306</v>
      </c>
      <c r="J366" s="10">
        <v>46304</v>
      </c>
      <c r="L366" t="s">
        <v>308</v>
      </c>
    </row>
    <row r="367" spans="1:12" x14ac:dyDescent="0.25">
      <c r="A367" t="s">
        <v>212</v>
      </c>
      <c r="B367" t="s">
        <v>303</v>
      </c>
      <c r="C367" t="s">
        <v>458</v>
      </c>
      <c r="E367" s="4">
        <v>9075</v>
      </c>
      <c r="F367" t="s">
        <v>305</v>
      </c>
      <c r="G367" s="9">
        <v>5.5389</v>
      </c>
      <c r="H367" s="4">
        <v>50265.518</v>
      </c>
      <c r="I367" t="s">
        <v>306</v>
      </c>
      <c r="J367" s="10">
        <v>46248</v>
      </c>
      <c r="K367" t="s">
        <v>459</v>
      </c>
      <c r="L367" t="s">
        <v>308</v>
      </c>
    </row>
    <row r="368" spans="1:12" x14ac:dyDescent="0.25">
      <c r="A368" t="s">
        <v>212</v>
      </c>
      <c r="B368" t="s">
        <v>309</v>
      </c>
      <c r="C368" t="s">
        <v>310</v>
      </c>
      <c r="E368" s="4">
        <v>976</v>
      </c>
      <c r="F368" t="s">
        <v>305</v>
      </c>
      <c r="G368" s="9">
        <v>5.5389</v>
      </c>
      <c r="H368" s="4">
        <v>5405.966</v>
      </c>
      <c r="I368" t="s">
        <v>306</v>
      </c>
      <c r="J368" s="10">
        <v>46248</v>
      </c>
      <c r="K368" t="s">
        <v>459</v>
      </c>
      <c r="L368" t="s">
        <v>308</v>
      </c>
    </row>
    <row r="369" spans="1:12" x14ac:dyDescent="0.25">
      <c r="A369" t="s">
        <v>212</v>
      </c>
      <c r="B369" t="s">
        <v>311</v>
      </c>
      <c r="C369" t="s">
        <v>312</v>
      </c>
      <c r="E369" s="4">
        <v>135</v>
      </c>
      <c r="F369" t="s">
        <v>305</v>
      </c>
      <c r="G369" s="9">
        <v>5.5389</v>
      </c>
      <c r="H369" s="4">
        <v>747.752</v>
      </c>
      <c r="I369" t="s">
        <v>306</v>
      </c>
      <c r="J369" s="10">
        <v>46248</v>
      </c>
      <c r="L369" t="s">
        <v>308</v>
      </c>
    </row>
    <row r="370" spans="1:12" x14ac:dyDescent="0.25">
      <c r="A370" t="s">
        <v>212</v>
      </c>
      <c r="B370" t="s">
        <v>313</v>
      </c>
      <c r="C370" t="s">
        <v>314</v>
      </c>
      <c r="E370" s="4">
        <v>200</v>
      </c>
      <c r="F370" t="s">
        <v>305</v>
      </c>
      <c r="G370" s="9">
        <v>5.5389</v>
      </c>
      <c r="H370" s="4">
        <v>1107.78</v>
      </c>
      <c r="I370" t="s">
        <v>306</v>
      </c>
      <c r="J370" s="10">
        <v>46248</v>
      </c>
      <c r="L370" t="s">
        <v>308</v>
      </c>
    </row>
    <row r="371" spans="1:12" x14ac:dyDescent="0.25">
      <c r="A371" t="s">
        <v>212</v>
      </c>
      <c r="B371" t="s">
        <v>328</v>
      </c>
      <c r="C371" t="s">
        <v>346</v>
      </c>
      <c r="D371" t="s">
        <v>347</v>
      </c>
      <c r="E371" s="4">
        <v>757</v>
      </c>
      <c r="F371" t="s">
        <v>305</v>
      </c>
      <c r="G371" s="9">
        <v>5.534</v>
      </c>
      <c r="H371" s="4">
        <v>4189.238</v>
      </c>
      <c r="I371" t="s">
        <v>306</v>
      </c>
      <c r="J371" s="10">
        <v>46250</v>
      </c>
      <c r="L371" t="s">
        <v>308</v>
      </c>
    </row>
    <row r="372" spans="1:12" x14ac:dyDescent="0.25">
      <c r="A372" t="s">
        <v>212</v>
      </c>
      <c r="B372" t="s">
        <v>336</v>
      </c>
      <c r="C372" t="s">
        <v>337</v>
      </c>
      <c r="E372" s="4">
        <v>69</v>
      </c>
      <c r="F372" t="s">
        <v>305</v>
      </c>
      <c r="G372" s="9">
        <v>5.5432</v>
      </c>
      <c r="H372" s="4">
        <v>382.481</v>
      </c>
      <c r="I372" t="s">
        <v>306</v>
      </c>
      <c r="J372" s="10">
        <v>46252</v>
      </c>
      <c r="L372" t="s">
        <v>308</v>
      </c>
    </row>
    <row r="373" spans="1:12" x14ac:dyDescent="0.25">
      <c r="A373" t="s">
        <v>212</v>
      </c>
      <c r="B373" t="s">
        <v>338</v>
      </c>
      <c r="C373" t="s">
        <v>339</v>
      </c>
      <c r="D373" t="s">
        <v>340</v>
      </c>
      <c r="E373" s="4">
        <v>75</v>
      </c>
      <c r="F373" t="s">
        <v>305</v>
      </c>
      <c r="G373" s="9">
        <v>5.5562</v>
      </c>
      <c r="H373" s="4">
        <v>416.715</v>
      </c>
      <c r="I373" t="s">
        <v>306</v>
      </c>
      <c r="J373" s="10">
        <v>46254</v>
      </c>
      <c r="L373" t="s">
        <v>308</v>
      </c>
    </row>
    <row r="374" spans="1:12" x14ac:dyDescent="0.25">
      <c r="A374" t="s">
        <v>212</v>
      </c>
      <c r="B374" t="s">
        <v>30</v>
      </c>
      <c r="C374" t="s">
        <v>460</v>
      </c>
      <c r="D374" t="s">
        <v>352</v>
      </c>
      <c r="E374" s="4">
        <v>1080.25</v>
      </c>
      <c r="F374" t="s">
        <v>305</v>
      </c>
      <c r="G374" s="9">
        <v>5.5467</v>
      </c>
      <c r="H374" s="4">
        <v>5991.823</v>
      </c>
      <c r="I374" t="s">
        <v>306</v>
      </c>
      <c r="J374" s="10">
        <v>46259</v>
      </c>
      <c r="L374" t="s">
        <v>308</v>
      </c>
    </row>
    <row r="375" spans="1:12" x14ac:dyDescent="0.25">
      <c r="A375" t="s">
        <v>212</v>
      </c>
      <c r="B375" t="s">
        <v>353</v>
      </c>
      <c r="C375" t="s">
        <v>461</v>
      </c>
      <c r="D375" t="s">
        <v>340</v>
      </c>
      <c r="E375" s="4">
        <v>150</v>
      </c>
      <c r="F375" t="s">
        <v>305</v>
      </c>
      <c r="G375" s="9">
        <v>5.5467</v>
      </c>
      <c r="H375" s="4">
        <v>832.005</v>
      </c>
      <c r="I375" t="s">
        <v>306</v>
      </c>
      <c r="J375" s="10">
        <v>46259</v>
      </c>
      <c r="L375" t="s">
        <v>308</v>
      </c>
    </row>
    <row r="376" spans="1:12" x14ac:dyDescent="0.25">
      <c r="A376" t="s">
        <v>212</v>
      </c>
      <c r="B376" t="s">
        <v>355</v>
      </c>
      <c r="C376" t="s">
        <v>356</v>
      </c>
      <c r="D376" t="s">
        <v>357</v>
      </c>
      <c r="E376" s="4">
        <v>136.125</v>
      </c>
      <c r="F376" t="s">
        <v>305</v>
      </c>
      <c r="G376" s="9">
        <v>5.5467</v>
      </c>
      <c r="H376" s="4">
        <v>755.045</v>
      </c>
      <c r="I376" t="s">
        <v>306</v>
      </c>
      <c r="J376" s="10">
        <v>46259</v>
      </c>
      <c r="L376" t="s">
        <v>308</v>
      </c>
    </row>
    <row r="377" spans="1:12" x14ac:dyDescent="0.25">
      <c r="A377" t="s">
        <v>212</v>
      </c>
      <c r="B377" t="s">
        <v>398</v>
      </c>
      <c r="C377" t="s">
        <v>399</v>
      </c>
      <c r="D377" t="s">
        <v>400</v>
      </c>
      <c r="E377" s="4">
        <v>894</v>
      </c>
      <c r="F377" t="s">
        <v>372</v>
      </c>
      <c r="G377" s="9">
        <v>1</v>
      </c>
      <c r="H377" s="4">
        <v>894</v>
      </c>
      <c r="I377" t="s">
        <v>306</v>
      </c>
      <c r="J377" s="10">
        <v>46293</v>
      </c>
      <c r="L377" t="s">
        <v>308</v>
      </c>
    </row>
    <row r="378" spans="1:12" x14ac:dyDescent="0.25">
      <c r="A378" t="s">
        <v>212</v>
      </c>
      <c r="B378" t="s">
        <v>370</v>
      </c>
      <c r="C378" t="s">
        <v>423</v>
      </c>
      <c r="E378" s="4">
        <v>11435</v>
      </c>
      <c r="F378" t="s">
        <v>372</v>
      </c>
      <c r="G378" s="9">
        <v>1</v>
      </c>
      <c r="H378" s="4">
        <v>11435</v>
      </c>
      <c r="I378" t="s">
        <v>306</v>
      </c>
      <c r="J378" s="10">
        <v>46297</v>
      </c>
      <c r="K378" t="s">
        <v>462</v>
      </c>
      <c r="L378" t="s">
        <v>308</v>
      </c>
    </row>
    <row r="379" spans="1:12" x14ac:dyDescent="0.25">
      <c r="A379" t="s">
        <v>212</v>
      </c>
      <c r="B379" t="s">
        <v>425</v>
      </c>
      <c r="C379" t="s">
        <v>426</v>
      </c>
      <c r="D379" t="s">
        <v>427</v>
      </c>
      <c r="E379" s="4">
        <v>441</v>
      </c>
      <c r="F379" t="s">
        <v>372</v>
      </c>
      <c r="G379" s="9">
        <v>1</v>
      </c>
      <c r="H379" s="4">
        <v>441</v>
      </c>
      <c r="I379" t="s">
        <v>306</v>
      </c>
      <c r="J379" s="10">
        <v>46298</v>
      </c>
      <c r="L379" t="s">
        <v>308</v>
      </c>
    </row>
    <row r="380" spans="1:12" x14ac:dyDescent="0.25">
      <c r="A380" t="s">
        <v>212</v>
      </c>
      <c r="B380" t="s">
        <v>434</v>
      </c>
      <c r="C380" t="s">
        <v>435</v>
      </c>
      <c r="D380" t="s">
        <v>436</v>
      </c>
      <c r="E380" s="4">
        <v>322</v>
      </c>
      <c r="F380" t="s">
        <v>372</v>
      </c>
      <c r="G380" s="9">
        <v>1</v>
      </c>
      <c r="H380" s="4">
        <v>322</v>
      </c>
      <c r="I380" t="s">
        <v>306</v>
      </c>
      <c r="J380" s="10">
        <v>46299</v>
      </c>
      <c r="L380" t="s">
        <v>308</v>
      </c>
    </row>
    <row r="381" spans="1:12" x14ac:dyDescent="0.25">
      <c r="A381" t="s">
        <v>212</v>
      </c>
      <c r="B381" t="s">
        <v>449</v>
      </c>
      <c r="C381" t="s">
        <v>450</v>
      </c>
      <c r="D381" t="s">
        <v>451</v>
      </c>
      <c r="E381" s="4">
        <v>2179</v>
      </c>
      <c r="F381" t="s">
        <v>372</v>
      </c>
      <c r="G381" s="9">
        <v>1</v>
      </c>
      <c r="H381" s="4">
        <v>2179</v>
      </c>
      <c r="I381" t="s">
        <v>306</v>
      </c>
      <c r="J381" s="10">
        <v>46302</v>
      </c>
      <c r="L381" t="s">
        <v>308</v>
      </c>
    </row>
    <row r="382" spans="1:12" x14ac:dyDescent="0.25">
      <c r="A382" t="s">
        <v>212</v>
      </c>
      <c r="B382" t="s">
        <v>445</v>
      </c>
      <c r="C382" t="s">
        <v>445</v>
      </c>
      <c r="E382" s="4">
        <v>2153</v>
      </c>
      <c r="F382" t="s">
        <v>372</v>
      </c>
      <c r="G382" s="9">
        <v>1</v>
      </c>
      <c r="H382" s="4">
        <v>2153</v>
      </c>
      <c r="I382" t="s">
        <v>306</v>
      </c>
      <c r="J382" s="10">
        <v>46302</v>
      </c>
      <c r="L382" t="s">
        <v>308</v>
      </c>
    </row>
    <row r="383" spans="1:12" x14ac:dyDescent="0.25">
      <c r="A383" t="s">
        <v>217</v>
      </c>
      <c r="B383" t="s">
        <v>303</v>
      </c>
      <c r="C383" t="s">
        <v>463</v>
      </c>
      <c r="E383" s="4">
        <v>17450</v>
      </c>
      <c r="F383" t="s">
        <v>305</v>
      </c>
      <c r="G383" s="9">
        <v>5.534</v>
      </c>
      <c r="H383" s="4">
        <v>96568.3</v>
      </c>
      <c r="I383" t="s">
        <v>306</v>
      </c>
      <c r="J383" s="10">
        <v>46250</v>
      </c>
      <c r="K383" t="s">
        <v>464</v>
      </c>
      <c r="L383" t="s">
        <v>308</v>
      </c>
    </row>
    <row r="384" spans="1:12" x14ac:dyDescent="0.25">
      <c r="A384" t="s">
        <v>217</v>
      </c>
      <c r="B384" t="s">
        <v>309</v>
      </c>
      <c r="C384" t="s">
        <v>310</v>
      </c>
      <c r="E384" s="4">
        <v>1646</v>
      </c>
      <c r="F384" t="s">
        <v>305</v>
      </c>
      <c r="G384" s="9">
        <v>5.534</v>
      </c>
      <c r="H384" s="4">
        <v>9108.964</v>
      </c>
      <c r="I384" t="s">
        <v>306</v>
      </c>
      <c r="J384" s="10">
        <v>46250</v>
      </c>
      <c r="K384" t="s">
        <v>464</v>
      </c>
      <c r="L384" t="s">
        <v>308</v>
      </c>
    </row>
    <row r="385" spans="1:12" x14ac:dyDescent="0.25">
      <c r="A385" t="s">
        <v>217</v>
      </c>
      <c r="B385" t="s">
        <v>311</v>
      </c>
      <c r="C385" t="s">
        <v>312</v>
      </c>
      <c r="E385" s="4">
        <v>159</v>
      </c>
      <c r="F385" t="s">
        <v>305</v>
      </c>
      <c r="G385" s="9">
        <v>5.534</v>
      </c>
      <c r="H385" s="4">
        <v>879.906</v>
      </c>
      <c r="I385" t="s">
        <v>306</v>
      </c>
      <c r="J385" s="10">
        <v>46250</v>
      </c>
      <c r="L385" t="s">
        <v>308</v>
      </c>
    </row>
    <row r="386" spans="1:12" x14ac:dyDescent="0.25">
      <c r="A386" t="s">
        <v>217</v>
      </c>
      <c r="B386" t="s">
        <v>313</v>
      </c>
      <c r="C386" t="s">
        <v>314</v>
      </c>
      <c r="E386" s="4">
        <v>200</v>
      </c>
      <c r="F386" t="s">
        <v>305</v>
      </c>
      <c r="G386" s="9">
        <v>5.534</v>
      </c>
      <c r="H386" s="4">
        <v>1106.8</v>
      </c>
      <c r="I386" t="s">
        <v>306</v>
      </c>
      <c r="J386" s="10">
        <v>46250</v>
      </c>
      <c r="L386" t="s">
        <v>308</v>
      </c>
    </row>
    <row r="387" spans="1:12" x14ac:dyDescent="0.25">
      <c r="A387" t="s">
        <v>217</v>
      </c>
      <c r="B387" t="s">
        <v>328</v>
      </c>
      <c r="C387" t="s">
        <v>343</v>
      </c>
      <c r="D387" t="s">
        <v>330</v>
      </c>
      <c r="E387" s="4">
        <v>289</v>
      </c>
      <c r="F387" t="s">
        <v>305</v>
      </c>
      <c r="G387" s="9">
        <v>5.5432</v>
      </c>
      <c r="H387" s="4">
        <v>1601.985</v>
      </c>
      <c r="I387" t="s">
        <v>306</v>
      </c>
      <c r="J387" s="10">
        <v>46252</v>
      </c>
      <c r="L387" t="s">
        <v>308</v>
      </c>
    </row>
    <row r="388" spans="1:12" x14ac:dyDescent="0.25">
      <c r="A388" t="s">
        <v>217</v>
      </c>
      <c r="B388" t="s">
        <v>338</v>
      </c>
      <c r="C388" t="s">
        <v>339</v>
      </c>
      <c r="D388" t="s">
        <v>340</v>
      </c>
      <c r="E388" s="4">
        <v>75</v>
      </c>
      <c r="F388" t="s">
        <v>305</v>
      </c>
      <c r="G388" s="9">
        <v>5.5547</v>
      </c>
      <c r="H388" s="4">
        <v>416.603</v>
      </c>
      <c r="I388" t="s">
        <v>306</v>
      </c>
      <c r="J388" s="10">
        <v>46256</v>
      </c>
      <c r="L388" t="s">
        <v>308</v>
      </c>
    </row>
    <row r="389" spans="1:12" x14ac:dyDescent="0.25">
      <c r="A389" t="s">
        <v>217</v>
      </c>
      <c r="B389" t="s">
        <v>30</v>
      </c>
      <c r="C389" t="s">
        <v>460</v>
      </c>
      <c r="D389" t="s">
        <v>352</v>
      </c>
      <c r="E389" s="4">
        <v>1080.25</v>
      </c>
      <c r="F389" t="s">
        <v>305</v>
      </c>
      <c r="G389" s="9">
        <v>5.5467</v>
      </c>
      <c r="H389" s="4">
        <v>5991.823</v>
      </c>
      <c r="I389" t="s">
        <v>306</v>
      </c>
      <c r="J389" s="10">
        <v>46259</v>
      </c>
      <c r="L389" t="s">
        <v>308</v>
      </c>
    </row>
    <row r="390" spans="1:12" x14ac:dyDescent="0.25">
      <c r="A390" t="s">
        <v>217</v>
      </c>
      <c r="B390" t="s">
        <v>353</v>
      </c>
      <c r="C390" t="s">
        <v>461</v>
      </c>
      <c r="D390" t="s">
        <v>340</v>
      </c>
      <c r="E390" s="4">
        <v>150</v>
      </c>
      <c r="F390" t="s">
        <v>305</v>
      </c>
      <c r="G390" s="9">
        <v>5.5467</v>
      </c>
      <c r="H390" s="4">
        <v>832.005</v>
      </c>
      <c r="I390" t="s">
        <v>306</v>
      </c>
      <c r="J390" s="10">
        <v>46259</v>
      </c>
      <c r="L390" t="s">
        <v>308</v>
      </c>
    </row>
    <row r="391" spans="1:12" x14ac:dyDescent="0.25">
      <c r="A391" t="s">
        <v>217</v>
      </c>
      <c r="B391" t="s">
        <v>355</v>
      </c>
      <c r="C391" t="s">
        <v>356</v>
      </c>
      <c r="D391" t="s">
        <v>357</v>
      </c>
      <c r="E391" s="4">
        <v>261.75</v>
      </c>
      <c r="F391" t="s">
        <v>305</v>
      </c>
      <c r="G391" s="9">
        <v>5.5467</v>
      </c>
      <c r="H391" s="4">
        <v>1451.849</v>
      </c>
      <c r="I391" t="s">
        <v>306</v>
      </c>
      <c r="J391" s="10">
        <v>46259</v>
      </c>
      <c r="L391" t="s">
        <v>308</v>
      </c>
    </row>
    <row r="392" spans="1:12" x14ac:dyDescent="0.25">
      <c r="A392" t="s">
        <v>217</v>
      </c>
      <c r="B392" t="s">
        <v>398</v>
      </c>
      <c r="C392" t="s">
        <v>399</v>
      </c>
      <c r="D392" t="s">
        <v>400</v>
      </c>
      <c r="E392" s="4">
        <v>569</v>
      </c>
      <c r="F392" t="s">
        <v>372</v>
      </c>
      <c r="G392" s="9">
        <v>1</v>
      </c>
      <c r="H392" s="4">
        <v>569</v>
      </c>
      <c r="I392" t="s">
        <v>306</v>
      </c>
      <c r="J392" s="10">
        <v>46295</v>
      </c>
      <c r="L392" t="s">
        <v>308</v>
      </c>
    </row>
    <row r="393" spans="1:12" x14ac:dyDescent="0.25">
      <c r="A393" t="s">
        <v>217</v>
      </c>
      <c r="B393" t="s">
        <v>370</v>
      </c>
      <c r="C393" t="s">
        <v>423</v>
      </c>
      <c r="E393" s="4">
        <v>21987</v>
      </c>
      <c r="F393" t="s">
        <v>372</v>
      </c>
      <c r="G393" s="9">
        <v>1</v>
      </c>
      <c r="H393" s="4">
        <v>21987</v>
      </c>
      <c r="I393" t="s">
        <v>306</v>
      </c>
      <c r="J393" s="10">
        <v>46299</v>
      </c>
      <c r="K393" t="s">
        <v>465</v>
      </c>
      <c r="L393" t="s">
        <v>308</v>
      </c>
    </row>
    <row r="394" spans="1:12" x14ac:dyDescent="0.25">
      <c r="A394" t="s">
        <v>217</v>
      </c>
      <c r="B394" t="s">
        <v>425</v>
      </c>
      <c r="C394" t="s">
        <v>426</v>
      </c>
      <c r="D394" t="s">
        <v>427</v>
      </c>
      <c r="E394" s="4">
        <v>488</v>
      </c>
      <c r="F394" t="s">
        <v>372</v>
      </c>
      <c r="G394" s="9">
        <v>1</v>
      </c>
      <c r="H394" s="4">
        <v>488</v>
      </c>
      <c r="I394" t="s">
        <v>306</v>
      </c>
      <c r="J394" s="10">
        <v>46300</v>
      </c>
      <c r="L394" t="s">
        <v>308</v>
      </c>
    </row>
    <row r="395" spans="1:12" x14ac:dyDescent="0.25">
      <c r="A395" t="s">
        <v>217</v>
      </c>
      <c r="B395" t="s">
        <v>434</v>
      </c>
      <c r="C395" t="s">
        <v>435</v>
      </c>
      <c r="D395" t="s">
        <v>436</v>
      </c>
      <c r="E395" s="4">
        <v>538</v>
      </c>
      <c r="F395" t="s">
        <v>372</v>
      </c>
      <c r="G395" s="9">
        <v>1</v>
      </c>
      <c r="H395" s="4">
        <v>538</v>
      </c>
      <c r="I395" t="s">
        <v>306</v>
      </c>
      <c r="J395" s="10">
        <v>46301</v>
      </c>
      <c r="L395" t="s">
        <v>308</v>
      </c>
    </row>
    <row r="396" spans="1:12" x14ac:dyDescent="0.25">
      <c r="A396" t="s">
        <v>222</v>
      </c>
      <c r="B396" t="s">
        <v>303</v>
      </c>
      <c r="C396" t="s">
        <v>466</v>
      </c>
      <c r="E396" s="4">
        <v>9325</v>
      </c>
      <c r="F396" t="s">
        <v>305</v>
      </c>
      <c r="G396" s="9">
        <v>5.5442</v>
      </c>
      <c r="H396" s="4">
        <v>51699.665</v>
      </c>
      <c r="I396" t="s">
        <v>306</v>
      </c>
      <c r="J396" s="10">
        <v>46247</v>
      </c>
      <c r="K396" t="s">
        <v>467</v>
      </c>
      <c r="L396" t="s">
        <v>308</v>
      </c>
    </row>
    <row r="397" spans="1:12" x14ac:dyDescent="0.25">
      <c r="A397" t="s">
        <v>222</v>
      </c>
      <c r="B397" t="s">
        <v>309</v>
      </c>
      <c r="C397" t="s">
        <v>310</v>
      </c>
      <c r="E397" s="4">
        <v>996</v>
      </c>
      <c r="F397" t="s">
        <v>305</v>
      </c>
      <c r="G397" s="9">
        <v>5.5442</v>
      </c>
      <c r="H397" s="4">
        <v>5522.023</v>
      </c>
      <c r="I397" t="s">
        <v>306</v>
      </c>
      <c r="J397" s="10">
        <v>46247</v>
      </c>
      <c r="K397" t="s">
        <v>467</v>
      </c>
      <c r="L397" t="s">
        <v>308</v>
      </c>
    </row>
    <row r="398" spans="1:12" x14ac:dyDescent="0.25">
      <c r="A398" t="s">
        <v>222</v>
      </c>
      <c r="B398" t="s">
        <v>311</v>
      </c>
      <c r="C398" t="s">
        <v>312</v>
      </c>
      <c r="E398" s="4">
        <v>159</v>
      </c>
      <c r="F398" t="s">
        <v>305</v>
      </c>
      <c r="G398" s="9">
        <v>5.5442</v>
      </c>
      <c r="H398" s="4">
        <v>881.528</v>
      </c>
      <c r="I398" t="s">
        <v>306</v>
      </c>
      <c r="J398" s="10">
        <v>46247</v>
      </c>
      <c r="L398" t="s">
        <v>308</v>
      </c>
    </row>
    <row r="399" spans="1:12" x14ac:dyDescent="0.25">
      <c r="A399" t="s">
        <v>222</v>
      </c>
      <c r="B399" t="s">
        <v>313</v>
      </c>
      <c r="C399" t="s">
        <v>314</v>
      </c>
      <c r="E399" s="4">
        <v>200</v>
      </c>
      <c r="F399" t="s">
        <v>305</v>
      </c>
      <c r="G399" s="9">
        <v>5.5442</v>
      </c>
      <c r="H399" s="4">
        <v>1108.84</v>
      </c>
      <c r="I399" t="s">
        <v>306</v>
      </c>
      <c r="J399" s="10">
        <v>46247</v>
      </c>
      <c r="L399" t="s">
        <v>308</v>
      </c>
    </row>
    <row r="400" spans="1:12" x14ac:dyDescent="0.25">
      <c r="A400" t="s">
        <v>222</v>
      </c>
      <c r="B400" t="s">
        <v>328</v>
      </c>
      <c r="C400" t="s">
        <v>382</v>
      </c>
      <c r="D400" t="s">
        <v>330</v>
      </c>
      <c r="E400" s="4">
        <v>830</v>
      </c>
      <c r="F400" t="s">
        <v>305</v>
      </c>
      <c r="G400" s="9">
        <v>5.5361</v>
      </c>
      <c r="H400" s="4">
        <v>4594.963</v>
      </c>
      <c r="I400" t="s">
        <v>306</v>
      </c>
      <c r="J400" s="10">
        <v>46249</v>
      </c>
      <c r="L400" t="s">
        <v>308</v>
      </c>
    </row>
    <row r="401" spans="1:12" x14ac:dyDescent="0.25">
      <c r="A401" t="s">
        <v>222</v>
      </c>
      <c r="B401" t="s">
        <v>338</v>
      </c>
      <c r="C401" t="s">
        <v>339</v>
      </c>
      <c r="D401" t="s">
        <v>340</v>
      </c>
      <c r="E401" s="4">
        <v>75</v>
      </c>
      <c r="F401" t="s">
        <v>305</v>
      </c>
      <c r="G401" s="9">
        <v>5.5483</v>
      </c>
      <c r="H401" s="4">
        <v>416.123</v>
      </c>
      <c r="I401" t="s">
        <v>306</v>
      </c>
      <c r="J401" s="10">
        <v>46253</v>
      </c>
      <c r="L401" t="s">
        <v>308</v>
      </c>
    </row>
    <row r="402" spans="1:12" x14ac:dyDescent="0.25">
      <c r="A402" t="s">
        <v>222</v>
      </c>
      <c r="B402" t="s">
        <v>30</v>
      </c>
      <c r="C402" t="s">
        <v>460</v>
      </c>
      <c r="D402" t="s">
        <v>352</v>
      </c>
      <c r="E402" s="4">
        <v>1080.25</v>
      </c>
      <c r="F402" t="s">
        <v>305</v>
      </c>
      <c r="G402" s="9">
        <v>5.5467</v>
      </c>
      <c r="H402" s="4">
        <v>5991.823</v>
      </c>
      <c r="I402" t="s">
        <v>306</v>
      </c>
      <c r="J402" s="10">
        <v>46259</v>
      </c>
      <c r="L402" t="s">
        <v>308</v>
      </c>
    </row>
    <row r="403" spans="1:12" x14ac:dyDescent="0.25">
      <c r="A403" t="s">
        <v>222</v>
      </c>
      <c r="B403" t="s">
        <v>353</v>
      </c>
      <c r="C403" t="s">
        <v>461</v>
      </c>
      <c r="D403" t="s">
        <v>340</v>
      </c>
      <c r="E403" s="4">
        <v>150</v>
      </c>
      <c r="F403" t="s">
        <v>305</v>
      </c>
      <c r="G403" s="9">
        <v>5.5467</v>
      </c>
      <c r="H403" s="4">
        <v>832.005</v>
      </c>
      <c r="I403" t="s">
        <v>306</v>
      </c>
      <c r="J403" s="10">
        <v>46259</v>
      </c>
      <c r="L403" t="s">
        <v>308</v>
      </c>
    </row>
    <row r="404" spans="1:12" x14ac:dyDescent="0.25">
      <c r="A404" t="s">
        <v>222</v>
      </c>
      <c r="B404" t="s">
        <v>355</v>
      </c>
      <c r="C404" t="s">
        <v>356</v>
      </c>
      <c r="D404" t="s">
        <v>357</v>
      </c>
      <c r="E404" s="4">
        <v>139.875</v>
      </c>
      <c r="F404" t="s">
        <v>305</v>
      </c>
      <c r="G404" s="9">
        <v>5.5467</v>
      </c>
      <c r="H404" s="4">
        <v>775.845</v>
      </c>
      <c r="I404" t="s">
        <v>306</v>
      </c>
      <c r="J404" s="10">
        <v>46259</v>
      </c>
      <c r="L404" t="s">
        <v>308</v>
      </c>
    </row>
    <row r="405" spans="1:12" x14ac:dyDescent="0.25">
      <c r="A405" t="s">
        <v>222</v>
      </c>
      <c r="B405" t="s">
        <v>398</v>
      </c>
      <c r="C405" t="s">
        <v>399</v>
      </c>
      <c r="D405" t="s">
        <v>400</v>
      </c>
      <c r="E405" s="4">
        <v>811</v>
      </c>
      <c r="F405" t="s">
        <v>372</v>
      </c>
      <c r="G405" s="9">
        <v>1</v>
      </c>
      <c r="H405" s="4">
        <v>811</v>
      </c>
      <c r="I405" t="s">
        <v>306</v>
      </c>
      <c r="J405" s="10">
        <v>46292</v>
      </c>
      <c r="L405" t="s">
        <v>308</v>
      </c>
    </row>
    <row r="406" spans="1:12" x14ac:dyDescent="0.25">
      <c r="A406" t="s">
        <v>222</v>
      </c>
      <c r="B406" t="s">
        <v>421</v>
      </c>
      <c r="C406" t="s">
        <v>422</v>
      </c>
      <c r="D406" t="s">
        <v>400</v>
      </c>
      <c r="E406" s="4">
        <v>410</v>
      </c>
      <c r="F406" t="s">
        <v>372</v>
      </c>
      <c r="G406" s="9">
        <v>1</v>
      </c>
      <c r="H406" s="4">
        <v>410</v>
      </c>
      <c r="I406" t="s">
        <v>306</v>
      </c>
      <c r="J406" s="10">
        <v>46297</v>
      </c>
      <c r="L406" t="s">
        <v>308</v>
      </c>
    </row>
    <row r="407" spans="1:12" x14ac:dyDescent="0.25">
      <c r="A407" t="s">
        <v>222</v>
      </c>
      <c r="B407" t="s">
        <v>370</v>
      </c>
      <c r="C407" t="s">
        <v>423</v>
      </c>
      <c r="E407" s="4">
        <v>11750</v>
      </c>
      <c r="F407" t="s">
        <v>372</v>
      </c>
      <c r="G407" s="9">
        <v>1</v>
      </c>
      <c r="H407" s="4">
        <v>11750</v>
      </c>
      <c r="I407" t="s">
        <v>306</v>
      </c>
      <c r="J407" s="10">
        <v>46296</v>
      </c>
      <c r="K407" t="s">
        <v>468</v>
      </c>
      <c r="L407" t="s">
        <v>308</v>
      </c>
    </row>
    <row r="408" spans="1:12" x14ac:dyDescent="0.25">
      <c r="A408" t="s">
        <v>222</v>
      </c>
      <c r="B408" t="s">
        <v>425</v>
      </c>
      <c r="C408" t="s">
        <v>426</v>
      </c>
      <c r="D408" t="s">
        <v>427</v>
      </c>
      <c r="E408" s="4">
        <v>587</v>
      </c>
      <c r="F408" t="s">
        <v>372</v>
      </c>
      <c r="G408" s="9">
        <v>1</v>
      </c>
      <c r="H408" s="4">
        <v>587</v>
      </c>
      <c r="I408" t="s">
        <v>306</v>
      </c>
      <c r="J408" s="10">
        <v>46297</v>
      </c>
      <c r="L408" t="s">
        <v>308</v>
      </c>
    </row>
    <row r="409" spans="1:12" x14ac:dyDescent="0.25">
      <c r="A409" t="s">
        <v>222</v>
      </c>
      <c r="B409" t="s">
        <v>434</v>
      </c>
      <c r="C409" t="s">
        <v>435</v>
      </c>
      <c r="D409" t="s">
        <v>436</v>
      </c>
      <c r="E409" s="4">
        <v>450</v>
      </c>
      <c r="F409" t="s">
        <v>372</v>
      </c>
      <c r="G409" s="9">
        <v>1</v>
      </c>
      <c r="H409" s="4">
        <v>450</v>
      </c>
      <c r="I409" t="s">
        <v>306</v>
      </c>
      <c r="J409" s="10">
        <v>46298</v>
      </c>
      <c r="L409" t="s">
        <v>308</v>
      </c>
    </row>
    <row r="410" spans="1:12" x14ac:dyDescent="0.25">
      <c r="A410" t="s">
        <v>222</v>
      </c>
      <c r="B410" t="s">
        <v>449</v>
      </c>
      <c r="C410" t="s">
        <v>450</v>
      </c>
      <c r="D410" t="s">
        <v>451</v>
      </c>
      <c r="E410" s="4">
        <v>8901</v>
      </c>
      <c r="F410" t="s">
        <v>372</v>
      </c>
      <c r="G410" s="9">
        <v>1</v>
      </c>
      <c r="H410" s="4">
        <v>8901</v>
      </c>
      <c r="I410" t="s">
        <v>306</v>
      </c>
      <c r="J410" s="10">
        <v>46301</v>
      </c>
      <c r="L410" t="s">
        <v>308</v>
      </c>
    </row>
    <row r="411" spans="1:12" x14ac:dyDescent="0.25">
      <c r="A411" t="s">
        <v>222</v>
      </c>
      <c r="B411" t="s">
        <v>445</v>
      </c>
      <c r="C411" t="s">
        <v>445</v>
      </c>
      <c r="E411" s="4">
        <v>1710</v>
      </c>
      <c r="F411" t="s">
        <v>372</v>
      </c>
      <c r="G411" s="9">
        <v>1</v>
      </c>
      <c r="H411" s="4">
        <v>1710</v>
      </c>
      <c r="I411" t="s">
        <v>306</v>
      </c>
      <c r="J411" s="10">
        <v>46301</v>
      </c>
      <c r="L411" t="s">
        <v>308</v>
      </c>
    </row>
    <row r="412" spans="1:12" x14ac:dyDescent="0.25">
      <c r="A412" t="s">
        <v>226</v>
      </c>
      <c r="B412" t="s">
        <v>303</v>
      </c>
      <c r="C412" t="s">
        <v>469</v>
      </c>
      <c r="E412" s="4">
        <v>19000</v>
      </c>
      <c r="F412" t="s">
        <v>305</v>
      </c>
      <c r="G412" s="9">
        <v>5.534</v>
      </c>
      <c r="H412" s="4">
        <v>105146</v>
      </c>
      <c r="I412" t="s">
        <v>306</v>
      </c>
      <c r="J412" s="10">
        <v>46250</v>
      </c>
      <c r="K412" t="s">
        <v>470</v>
      </c>
      <c r="L412" t="s">
        <v>308</v>
      </c>
    </row>
    <row r="413" spans="1:12" x14ac:dyDescent="0.25">
      <c r="A413" t="s">
        <v>226</v>
      </c>
      <c r="B413" t="s">
        <v>309</v>
      </c>
      <c r="C413" t="s">
        <v>310</v>
      </c>
      <c r="E413" s="4">
        <v>1770</v>
      </c>
      <c r="F413" t="s">
        <v>305</v>
      </c>
      <c r="G413" s="9">
        <v>5.534</v>
      </c>
      <c r="H413" s="4">
        <v>9795.18</v>
      </c>
      <c r="I413" t="s">
        <v>306</v>
      </c>
      <c r="J413" s="10">
        <v>46250</v>
      </c>
      <c r="K413" t="s">
        <v>470</v>
      </c>
      <c r="L413" t="s">
        <v>308</v>
      </c>
    </row>
    <row r="414" spans="1:12" x14ac:dyDescent="0.25">
      <c r="A414" t="s">
        <v>226</v>
      </c>
      <c r="B414" t="s">
        <v>311</v>
      </c>
      <c r="C414" t="s">
        <v>312</v>
      </c>
      <c r="E414" s="4">
        <v>159</v>
      </c>
      <c r="F414" t="s">
        <v>305</v>
      </c>
      <c r="G414" s="9">
        <v>5.534</v>
      </c>
      <c r="H414" s="4">
        <v>879.906</v>
      </c>
      <c r="I414" t="s">
        <v>306</v>
      </c>
      <c r="J414" s="10">
        <v>46250</v>
      </c>
      <c r="L414" t="s">
        <v>308</v>
      </c>
    </row>
    <row r="415" spans="1:12" x14ac:dyDescent="0.25">
      <c r="A415" t="s">
        <v>226</v>
      </c>
      <c r="B415" t="s">
        <v>313</v>
      </c>
      <c r="C415" t="s">
        <v>314</v>
      </c>
      <c r="E415" s="4">
        <v>200</v>
      </c>
      <c r="F415" t="s">
        <v>305</v>
      </c>
      <c r="G415" s="9">
        <v>5.534</v>
      </c>
      <c r="H415" s="4">
        <v>1106.8</v>
      </c>
      <c r="I415" t="s">
        <v>306</v>
      </c>
      <c r="J415" s="10">
        <v>46250</v>
      </c>
      <c r="L415" t="s">
        <v>308</v>
      </c>
    </row>
    <row r="416" spans="1:12" x14ac:dyDescent="0.25">
      <c r="A416" t="s">
        <v>226</v>
      </c>
      <c r="B416" t="s">
        <v>328</v>
      </c>
      <c r="C416" t="s">
        <v>335</v>
      </c>
      <c r="D416" t="s">
        <v>330</v>
      </c>
      <c r="E416" s="4">
        <v>319</v>
      </c>
      <c r="F416" t="s">
        <v>305</v>
      </c>
      <c r="G416" s="9">
        <v>5.5432</v>
      </c>
      <c r="H416" s="4">
        <v>1768.281</v>
      </c>
      <c r="I416" t="s">
        <v>306</v>
      </c>
      <c r="J416" s="10">
        <v>46252</v>
      </c>
      <c r="L416" t="s">
        <v>308</v>
      </c>
    </row>
    <row r="417" spans="1:12" x14ac:dyDescent="0.25">
      <c r="A417" t="s">
        <v>226</v>
      </c>
      <c r="B417" t="s">
        <v>338</v>
      </c>
      <c r="C417" t="s">
        <v>339</v>
      </c>
      <c r="D417" t="s">
        <v>340</v>
      </c>
      <c r="E417" s="4">
        <v>75</v>
      </c>
      <c r="F417" t="s">
        <v>305</v>
      </c>
      <c r="G417" s="9">
        <v>5.5547</v>
      </c>
      <c r="H417" s="4">
        <v>416.603</v>
      </c>
      <c r="I417" t="s">
        <v>306</v>
      </c>
      <c r="J417" s="10">
        <v>46256</v>
      </c>
      <c r="L417" t="s">
        <v>308</v>
      </c>
    </row>
    <row r="418" spans="1:12" x14ac:dyDescent="0.25">
      <c r="A418" t="s">
        <v>226</v>
      </c>
      <c r="B418" t="s">
        <v>30</v>
      </c>
      <c r="C418" t="s">
        <v>460</v>
      </c>
      <c r="D418" t="s">
        <v>352</v>
      </c>
      <c r="E418" s="4">
        <v>1080.25</v>
      </c>
      <c r="F418" t="s">
        <v>305</v>
      </c>
      <c r="G418" s="9">
        <v>5.5467</v>
      </c>
      <c r="H418" s="4">
        <v>5991.823</v>
      </c>
      <c r="I418" t="s">
        <v>306</v>
      </c>
      <c r="J418" s="10">
        <v>46259</v>
      </c>
      <c r="L418" t="s">
        <v>308</v>
      </c>
    </row>
    <row r="419" spans="1:12" x14ac:dyDescent="0.25">
      <c r="A419" t="s">
        <v>226</v>
      </c>
      <c r="B419" t="s">
        <v>353</v>
      </c>
      <c r="C419" t="s">
        <v>461</v>
      </c>
      <c r="D419" t="s">
        <v>340</v>
      </c>
      <c r="E419" s="4">
        <v>150</v>
      </c>
      <c r="F419" t="s">
        <v>305</v>
      </c>
      <c r="G419" s="9">
        <v>5.5467</v>
      </c>
      <c r="H419" s="4">
        <v>832.005</v>
      </c>
      <c r="I419" t="s">
        <v>306</v>
      </c>
      <c r="J419" s="10">
        <v>46259</v>
      </c>
      <c r="L419" t="s">
        <v>308</v>
      </c>
    </row>
    <row r="420" spans="1:12" x14ac:dyDescent="0.25">
      <c r="A420" t="s">
        <v>226</v>
      </c>
      <c r="B420" t="s">
        <v>355</v>
      </c>
      <c r="C420" t="s">
        <v>356</v>
      </c>
      <c r="D420" t="s">
        <v>357</v>
      </c>
      <c r="E420" s="4">
        <v>285</v>
      </c>
      <c r="F420" t="s">
        <v>305</v>
      </c>
      <c r="G420" s="9">
        <v>5.5467</v>
      </c>
      <c r="H420" s="4">
        <v>1580.81</v>
      </c>
      <c r="I420" t="s">
        <v>306</v>
      </c>
      <c r="J420" s="10">
        <v>46259</v>
      </c>
      <c r="L420" t="s">
        <v>308</v>
      </c>
    </row>
    <row r="421" spans="1:12" x14ac:dyDescent="0.25">
      <c r="A421" t="s">
        <v>226</v>
      </c>
      <c r="B421" t="s">
        <v>398</v>
      </c>
      <c r="C421" t="s">
        <v>399</v>
      </c>
      <c r="D421" t="s">
        <v>400</v>
      </c>
      <c r="E421" s="4">
        <v>577</v>
      </c>
      <c r="F421" t="s">
        <v>372</v>
      </c>
      <c r="G421" s="9">
        <v>1</v>
      </c>
      <c r="H421" s="4">
        <v>577</v>
      </c>
      <c r="I421" t="s">
        <v>306</v>
      </c>
      <c r="J421" s="10">
        <v>46295</v>
      </c>
      <c r="L421" t="s">
        <v>308</v>
      </c>
    </row>
    <row r="422" spans="1:12" x14ac:dyDescent="0.25">
      <c r="A422" t="s">
        <v>226</v>
      </c>
      <c r="B422" t="s">
        <v>370</v>
      </c>
      <c r="C422" t="s">
        <v>423</v>
      </c>
      <c r="E422" s="4">
        <v>23940</v>
      </c>
      <c r="F422" t="s">
        <v>372</v>
      </c>
      <c r="G422" s="9">
        <v>1</v>
      </c>
      <c r="H422" s="4">
        <v>23940</v>
      </c>
      <c r="I422" t="s">
        <v>306</v>
      </c>
      <c r="J422" s="10">
        <v>46299</v>
      </c>
      <c r="K422" t="s">
        <v>471</v>
      </c>
      <c r="L422" t="s">
        <v>308</v>
      </c>
    </row>
    <row r="423" spans="1:12" x14ac:dyDescent="0.25">
      <c r="A423" t="s">
        <v>226</v>
      </c>
      <c r="B423" t="s">
        <v>425</v>
      </c>
      <c r="C423" t="s">
        <v>426</v>
      </c>
      <c r="D423" t="s">
        <v>427</v>
      </c>
      <c r="E423" s="4">
        <v>473</v>
      </c>
      <c r="F423" t="s">
        <v>372</v>
      </c>
      <c r="G423" s="9">
        <v>1</v>
      </c>
      <c r="H423" s="4">
        <v>473</v>
      </c>
      <c r="I423" t="s">
        <v>306</v>
      </c>
      <c r="J423" s="10">
        <v>46300</v>
      </c>
      <c r="L423" t="s">
        <v>308</v>
      </c>
    </row>
    <row r="424" spans="1:12" x14ac:dyDescent="0.25">
      <c r="A424" t="s">
        <v>226</v>
      </c>
      <c r="B424" t="s">
        <v>434</v>
      </c>
      <c r="C424" t="s">
        <v>435</v>
      </c>
      <c r="D424" t="s">
        <v>436</v>
      </c>
      <c r="E424" s="4">
        <v>478</v>
      </c>
      <c r="F424" t="s">
        <v>372</v>
      </c>
      <c r="G424" s="9">
        <v>1</v>
      </c>
      <c r="H424" s="4">
        <v>478</v>
      </c>
      <c r="I424" t="s">
        <v>306</v>
      </c>
      <c r="J424" s="10">
        <v>46301</v>
      </c>
      <c r="L424" t="s">
        <v>308</v>
      </c>
    </row>
    <row r="425" spans="1:12" x14ac:dyDescent="0.25">
      <c r="A425" t="s">
        <v>230</v>
      </c>
      <c r="B425" t="s">
        <v>303</v>
      </c>
      <c r="C425" t="s">
        <v>472</v>
      </c>
      <c r="E425" s="4">
        <v>11900</v>
      </c>
      <c r="F425" t="s">
        <v>305</v>
      </c>
      <c r="G425" s="9">
        <v>5.5361</v>
      </c>
      <c r="H425" s="4">
        <v>65879.59</v>
      </c>
      <c r="I425" t="s">
        <v>306</v>
      </c>
      <c r="J425" s="10">
        <v>46249</v>
      </c>
      <c r="K425" t="s">
        <v>473</v>
      </c>
      <c r="L425" t="s">
        <v>308</v>
      </c>
    </row>
    <row r="426" spans="1:12" x14ac:dyDescent="0.25">
      <c r="A426" t="s">
        <v>230</v>
      </c>
      <c r="B426" t="s">
        <v>309</v>
      </c>
      <c r="C426" t="s">
        <v>310</v>
      </c>
      <c r="E426" s="4">
        <v>1202</v>
      </c>
      <c r="F426" t="s">
        <v>305</v>
      </c>
      <c r="G426" s="9">
        <v>5.5361</v>
      </c>
      <c r="H426" s="4">
        <v>6654.392</v>
      </c>
      <c r="I426" t="s">
        <v>306</v>
      </c>
      <c r="J426" s="10">
        <v>46249</v>
      </c>
      <c r="K426" t="s">
        <v>473</v>
      </c>
      <c r="L426" t="s">
        <v>308</v>
      </c>
    </row>
    <row r="427" spans="1:12" x14ac:dyDescent="0.25">
      <c r="A427" t="s">
        <v>230</v>
      </c>
      <c r="B427" t="s">
        <v>311</v>
      </c>
      <c r="C427" t="s">
        <v>312</v>
      </c>
      <c r="E427" s="4">
        <v>135</v>
      </c>
      <c r="F427" t="s">
        <v>305</v>
      </c>
      <c r="G427" s="9">
        <v>5.5361</v>
      </c>
      <c r="H427" s="4">
        <v>747.374</v>
      </c>
      <c r="I427" t="s">
        <v>306</v>
      </c>
      <c r="J427" s="10">
        <v>46249</v>
      </c>
      <c r="L427" t="s">
        <v>308</v>
      </c>
    </row>
    <row r="428" spans="1:12" x14ac:dyDescent="0.25">
      <c r="A428" t="s">
        <v>230</v>
      </c>
      <c r="B428" t="s">
        <v>313</v>
      </c>
      <c r="C428" t="s">
        <v>314</v>
      </c>
      <c r="E428" s="4">
        <v>200</v>
      </c>
      <c r="F428" t="s">
        <v>305</v>
      </c>
      <c r="G428" s="9">
        <v>5.5361</v>
      </c>
      <c r="H428" s="4">
        <v>1107.22</v>
      </c>
      <c r="I428" t="s">
        <v>306</v>
      </c>
      <c r="J428" s="10">
        <v>46249</v>
      </c>
      <c r="L428" t="s">
        <v>308</v>
      </c>
    </row>
    <row r="429" spans="1:12" x14ac:dyDescent="0.25">
      <c r="A429" t="s">
        <v>230</v>
      </c>
      <c r="B429" t="s">
        <v>328</v>
      </c>
      <c r="C429" t="s">
        <v>343</v>
      </c>
      <c r="D429" t="s">
        <v>330</v>
      </c>
      <c r="E429" s="4">
        <v>405</v>
      </c>
      <c r="F429" t="s">
        <v>305</v>
      </c>
      <c r="G429" s="9">
        <v>5.5378</v>
      </c>
      <c r="H429" s="4">
        <v>2242.809</v>
      </c>
      <c r="I429" t="s">
        <v>306</v>
      </c>
      <c r="J429" s="10">
        <v>46251</v>
      </c>
      <c r="L429" t="s">
        <v>308</v>
      </c>
    </row>
    <row r="430" spans="1:12" x14ac:dyDescent="0.25">
      <c r="A430" t="s">
        <v>230</v>
      </c>
      <c r="B430" t="s">
        <v>338</v>
      </c>
      <c r="C430" t="s">
        <v>339</v>
      </c>
      <c r="D430" t="s">
        <v>340</v>
      </c>
      <c r="E430" s="4">
        <v>75</v>
      </c>
      <c r="F430" t="s">
        <v>305</v>
      </c>
      <c r="G430" s="9">
        <v>5.554</v>
      </c>
      <c r="H430" s="4">
        <v>416.55</v>
      </c>
      <c r="I430" t="s">
        <v>306</v>
      </c>
      <c r="J430" s="10">
        <v>46255</v>
      </c>
      <c r="L430" t="s">
        <v>308</v>
      </c>
    </row>
    <row r="431" spans="1:12" x14ac:dyDescent="0.25">
      <c r="A431" t="s">
        <v>230</v>
      </c>
      <c r="B431" t="s">
        <v>30</v>
      </c>
      <c r="C431" t="s">
        <v>474</v>
      </c>
      <c r="D431" t="s">
        <v>396</v>
      </c>
      <c r="E431" s="4">
        <v>1188.5</v>
      </c>
      <c r="F431" t="s">
        <v>305</v>
      </c>
      <c r="G431" s="9">
        <v>5.5554</v>
      </c>
      <c r="H431" s="4">
        <v>6602.593</v>
      </c>
      <c r="I431" t="s">
        <v>306</v>
      </c>
      <c r="J431" s="10">
        <v>46260</v>
      </c>
      <c r="L431" t="s">
        <v>308</v>
      </c>
    </row>
    <row r="432" spans="1:12" x14ac:dyDescent="0.25">
      <c r="A432" t="s">
        <v>230</v>
      </c>
      <c r="B432" t="s">
        <v>353</v>
      </c>
      <c r="C432" t="s">
        <v>475</v>
      </c>
      <c r="D432" t="s">
        <v>340</v>
      </c>
      <c r="E432" s="4">
        <v>150</v>
      </c>
      <c r="F432" t="s">
        <v>305</v>
      </c>
      <c r="G432" s="9">
        <v>5.5554</v>
      </c>
      <c r="H432" s="4">
        <v>833.31</v>
      </c>
      <c r="I432" t="s">
        <v>306</v>
      </c>
      <c r="J432" s="10">
        <v>46260</v>
      </c>
      <c r="L432" t="s">
        <v>308</v>
      </c>
    </row>
    <row r="433" spans="1:12" x14ac:dyDescent="0.25">
      <c r="A433" t="s">
        <v>230</v>
      </c>
      <c r="B433" t="s">
        <v>355</v>
      </c>
      <c r="C433" t="s">
        <v>356</v>
      </c>
      <c r="D433" t="s">
        <v>357</v>
      </c>
      <c r="E433" s="4">
        <v>178.5</v>
      </c>
      <c r="F433" t="s">
        <v>305</v>
      </c>
      <c r="G433" s="9">
        <v>5.5554</v>
      </c>
      <c r="H433" s="4">
        <v>991.639</v>
      </c>
      <c r="I433" t="s">
        <v>306</v>
      </c>
      <c r="J433" s="10">
        <v>46260</v>
      </c>
      <c r="L433" t="s">
        <v>308</v>
      </c>
    </row>
    <row r="434" spans="1:12" x14ac:dyDescent="0.25">
      <c r="A434" t="s">
        <v>230</v>
      </c>
      <c r="B434" t="s">
        <v>398</v>
      </c>
      <c r="C434" t="s">
        <v>399</v>
      </c>
      <c r="D434" t="s">
        <v>400</v>
      </c>
      <c r="E434" s="4">
        <v>770</v>
      </c>
      <c r="F434" t="s">
        <v>372</v>
      </c>
      <c r="G434" s="9">
        <v>1</v>
      </c>
      <c r="H434" s="4">
        <v>770</v>
      </c>
      <c r="I434" t="s">
        <v>306</v>
      </c>
      <c r="J434" s="10">
        <v>46294</v>
      </c>
      <c r="L434" t="s">
        <v>308</v>
      </c>
    </row>
    <row r="435" spans="1:12" x14ac:dyDescent="0.25">
      <c r="A435" t="s">
        <v>230</v>
      </c>
      <c r="B435" t="s">
        <v>370</v>
      </c>
      <c r="C435" t="s">
        <v>423</v>
      </c>
      <c r="E435" s="4">
        <v>14994</v>
      </c>
      <c r="F435" t="s">
        <v>372</v>
      </c>
      <c r="G435" s="9">
        <v>1</v>
      </c>
      <c r="H435" s="4">
        <v>14994</v>
      </c>
      <c r="I435" t="s">
        <v>306</v>
      </c>
      <c r="J435" s="10">
        <v>46298</v>
      </c>
      <c r="K435" t="s">
        <v>476</v>
      </c>
      <c r="L435" t="s">
        <v>308</v>
      </c>
    </row>
    <row r="436" spans="1:12" x14ac:dyDescent="0.25">
      <c r="A436" t="s">
        <v>230</v>
      </c>
      <c r="B436" t="s">
        <v>425</v>
      </c>
      <c r="C436" t="s">
        <v>426</v>
      </c>
      <c r="D436" t="s">
        <v>427</v>
      </c>
      <c r="E436" s="4">
        <v>401</v>
      </c>
      <c r="F436" t="s">
        <v>372</v>
      </c>
      <c r="G436" s="9">
        <v>1</v>
      </c>
      <c r="H436" s="4">
        <v>401</v>
      </c>
      <c r="I436" t="s">
        <v>306</v>
      </c>
      <c r="J436" s="10">
        <v>46299</v>
      </c>
      <c r="L436" t="s">
        <v>308</v>
      </c>
    </row>
    <row r="437" spans="1:12" x14ac:dyDescent="0.25">
      <c r="A437" t="s">
        <v>230</v>
      </c>
      <c r="B437" t="s">
        <v>434</v>
      </c>
      <c r="C437" t="s">
        <v>435</v>
      </c>
      <c r="D437" t="s">
        <v>436</v>
      </c>
      <c r="E437" s="4">
        <v>362</v>
      </c>
      <c r="F437" t="s">
        <v>372</v>
      </c>
      <c r="G437" s="9">
        <v>1</v>
      </c>
      <c r="H437" s="4">
        <v>362</v>
      </c>
      <c r="I437" t="s">
        <v>306</v>
      </c>
      <c r="J437" s="10">
        <v>46300</v>
      </c>
      <c r="L437" t="s">
        <v>308</v>
      </c>
    </row>
    <row r="438" spans="1:12" x14ac:dyDescent="0.25">
      <c r="A438" t="s">
        <v>230</v>
      </c>
      <c r="B438" t="s">
        <v>445</v>
      </c>
      <c r="C438" t="s">
        <v>445</v>
      </c>
      <c r="E438" s="4">
        <v>1480</v>
      </c>
      <c r="F438" t="s">
        <v>372</v>
      </c>
      <c r="G438" s="9">
        <v>1</v>
      </c>
      <c r="H438" s="4">
        <v>1480</v>
      </c>
      <c r="I438" t="s">
        <v>306</v>
      </c>
      <c r="J438" s="10">
        <v>46303</v>
      </c>
      <c r="L438" t="s">
        <v>308</v>
      </c>
    </row>
    <row r="439" spans="1:12" x14ac:dyDescent="0.25">
      <c r="A439" t="s">
        <v>235</v>
      </c>
      <c r="B439" t="s">
        <v>303</v>
      </c>
      <c r="C439" t="s">
        <v>477</v>
      </c>
      <c r="E439" s="4">
        <v>9125</v>
      </c>
      <c r="F439" t="s">
        <v>305</v>
      </c>
      <c r="G439" s="9">
        <v>5.5389</v>
      </c>
      <c r="H439" s="4">
        <v>50542.463</v>
      </c>
      <c r="I439" t="s">
        <v>306</v>
      </c>
      <c r="J439" s="10">
        <v>46248</v>
      </c>
      <c r="K439" t="s">
        <v>478</v>
      </c>
      <c r="L439" t="s">
        <v>308</v>
      </c>
    </row>
    <row r="440" spans="1:12" x14ac:dyDescent="0.25">
      <c r="A440" t="s">
        <v>235</v>
      </c>
      <c r="B440" t="s">
        <v>309</v>
      </c>
      <c r="C440" t="s">
        <v>310</v>
      </c>
      <c r="E440" s="4">
        <v>980</v>
      </c>
      <c r="F440" t="s">
        <v>305</v>
      </c>
      <c r="G440" s="9">
        <v>5.5389</v>
      </c>
      <c r="H440" s="4">
        <v>5428.122</v>
      </c>
      <c r="I440" t="s">
        <v>306</v>
      </c>
      <c r="J440" s="10">
        <v>46248</v>
      </c>
      <c r="K440" t="s">
        <v>478</v>
      </c>
      <c r="L440" t="s">
        <v>308</v>
      </c>
    </row>
    <row r="441" spans="1:12" x14ac:dyDescent="0.25">
      <c r="A441" t="s">
        <v>235</v>
      </c>
      <c r="B441" t="s">
        <v>311</v>
      </c>
      <c r="C441" t="s">
        <v>312</v>
      </c>
      <c r="E441" s="4">
        <v>159</v>
      </c>
      <c r="F441" t="s">
        <v>305</v>
      </c>
      <c r="G441" s="9">
        <v>5.5389</v>
      </c>
      <c r="H441" s="4">
        <v>880.685</v>
      </c>
      <c r="I441" t="s">
        <v>306</v>
      </c>
      <c r="J441" s="10">
        <v>46248</v>
      </c>
      <c r="L441" t="s">
        <v>308</v>
      </c>
    </row>
    <row r="442" spans="1:12" x14ac:dyDescent="0.25">
      <c r="A442" t="s">
        <v>235</v>
      </c>
      <c r="B442" t="s">
        <v>313</v>
      </c>
      <c r="C442" t="s">
        <v>314</v>
      </c>
      <c r="E442" s="4">
        <v>200</v>
      </c>
      <c r="F442" t="s">
        <v>305</v>
      </c>
      <c r="G442" s="9">
        <v>5.5389</v>
      </c>
      <c r="H442" s="4">
        <v>1107.78</v>
      </c>
      <c r="I442" t="s">
        <v>306</v>
      </c>
      <c r="J442" s="10">
        <v>46248</v>
      </c>
      <c r="L442" t="s">
        <v>308</v>
      </c>
    </row>
    <row r="443" spans="1:12" x14ac:dyDescent="0.25">
      <c r="A443" t="s">
        <v>235</v>
      </c>
      <c r="B443" t="s">
        <v>328</v>
      </c>
      <c r="C443" t="s">
        <v>382</v>
      </c>
      <c r="D443" t="s">
        <v>330</v>
      </c>
      <c r="E443" s="4">
        <v>642</v>
      </c>
      <c r="F443" t="s">
        <v>305</v>
      </c>
      <c r="G443" s="9">
        <v>5.534</v>
      </c>
      <c r="H443" s="4">
        <v>3552.828</v>
      </c>
      <c r="I443" t="s">
        <v>306</v>
      </c>
      <c r="J443" s="10">
        <v>46250</v>
      </c>
      <c r="L443" t="s">
        <v>308</v>
      </c>
    </row>
    <row r="444" spans="1:12" x14ac:dyDescent="0.25">
      <c r="A444" t="s">
        <v>235</v>
      </c>
      <c r="B444" t="s">
        <v>336</v>
      </c>
      <c r="C444" t="s">
        <v>337</v>
      </c>
      <c r="E444" s="4">
        <v>77</v>
      </c>
      <c r="F444" t="s">
        <v>305</v>
      </c>
      <c r="G444" s="9">
        <v>5.5432</v>
      </c>
      <c r="H444" s="4">
        <v>426.826</v>
      </c>
      <c r="I444" t="s">
        <v>306</v>
      </c>
      <c r="J444" s="10">
        <v>46252</v>
      </c>
      <c r="L444" t="s">
        <v>308</v>
      </c>
    </row>
    <row r="445" spans="1:12" x14ac:dyDescent="0.25">
      <c r="A445" t="s">
        <v>235</v>
      </c>
      <c r="B445" t="s">
        <v>338</v>
      </c>
      <c r="C445" t="s">
        <v>339</v>
      </c>
      <c r="D445" t="s">
        <v>340</v>
      </c>
      <c r="E445" s="4">
        <v>75</v>
      </c>
      <c r="F445" t="s">
        <v>305</v>
      </c>
      <c r="G445" s="9">
        <v>5.5562</v>
      </c>
      <c r="H445" s="4">
        <v>416.715</v>
      </c>
      <c r="I445" t="s">
        <v>306</v>
      </c>
      <c r="J445" s="10">
        <v>46254</v>
      </c>
      <c r="L445" t="s">
        <v>308</v>
      </c>
    </row>
    <row r="446" spans="1:12" x14ac:dyDescent="0.25">
      <c r="A446" t="s">
        <v>235</v>
      </c>
      <c r="B446" t="s">
        <v>30</v>
      </c>
      <c r="C446" t="s">
        <v>474</v>
      </c>
      <c r="D446" t="s">
        <v>396</v>
      </c>
      <c r="E446" s="4">
        <v>1188.5</v>
      </c>
      <c r="F446" t="s">
        <v>305</v>
      </c>
      <c r="G446" s="9">
        <v>5.5554</v>
      </c>
      <c r="H446" s="4">
        <v>6602.593</v>
      </c>
      <c r="I446" t="s">
        <v>306</v>
      </c>
      <c r="J446" s="10">
        <v>46260</v>
      </c>
      <c r="L446" t="s">
        <v>308</v>
      </c>
    </row>
    <row r="447" spans="1:12" x14ac:dyDescent="0.25">
      <c r="A447" t="s">
        <v>235</v>
      </c>
      <c r="B447" t="s">
        <v>353</v>
      </c>
      <c r="C447" t="s">
        <v>475</v>
      </c>
      <c r="D447" t="s">
        <v>340</v>
      </c>
      <c r="E447" s="4">
        <v>150</v>
      </c>
      <c r="F447" t="s">
        <v>305</v>
      </c>
      <c r="G447" s="9">
        <v>5.5554</v>
      </c>
      <c r="H447" s="4">
        <v>833.31</v>
      </c>
      <c r="I447" t="s">
        <v>306</v>
      </c>
      <c r="J447" s="10">
        <v>46260</v>
      </c>
      <c r="L447" t="s">
        <v>308</v>
      </c>
    </row>
    <row r="448" spans="1:12" x14ac:dyDescent="0.25">
      <c r="A448" t="s">
        <v>235</v>
      </c>
      <c r="B448" t="s">
        <v>355</v>
      </c>
      <c r="C448" t="s">
        <v>356</v>
      </c>
      <c r="D448" t="s">
        <v>357</v>
      </c>
      <c r="E448" s="4">
        <v>136.875</v>
      </c>
      <c r="F448" t="s">
        <v>305</v>
      </c>
      <c r="G448" s="9">
        <v>5.5554</v>
      </c>
      <c r="H448" s="4">
        <v>760.395</v>
      </c>
      <c r="I448" t="s">
        <v>306</v>
      </c>
      <c r="J448" s="10">
        <v>46260</v>
      </c>
      <c r="L448" t="s">
        <v>308</v>
      </c>
    </row>
    <row r="449" spans="1:12" x14ac:dyDescent="0.25">
      <c r="A449" t="s">
        <v>235</v>
      </c>
      <c r="B449" t="s">
        <v>398</v>
      </c>
      <c r="C449" t="s">
        <v>399</v>
      </c>
      <c r="D449" t="s">
        <v>400</v>
      </c>
      <c r="E449" s="4">
        <v>645</v>
      </c>
      <c r="F449" t="s">
        <v>372</v>
      </c>
      <c r="G449" s="9">
        <v>1</v>
      </c>
      <c r="H449" s="4">
        <v>645</v>
      </c>
      <c r="I449" t="s">
        <v>306</v>
      </c>
      <c r="J449" s="10">
        <v>46293</v>
      </c>
      <c r="L449" t="s">
        <v>308</v>
      </c>
    </row>
    <row r="450" spans="1:12" x14ac:dyDescent="0.25">
      <c r="A450" t="s">
        <v>235</v>
      </c>
      <c r="B450" t="s">
        <v>370</v>
      </c>
      <c r="C450" t="s">
        <v>423</v>
      </c>
      <c r="E450" s="4">
        <v>11498</v>
      </c>
      <c r="F450" t="s">
        <v>372</v>
      </c>
      <c r="G450" s="9">
        <v>1</v>
      </c>
      <c r="H450" s="4">
        <v>11498</v>
      </c>
      <c r="I450" t="s">
        <v>306</v>
      </c>
      <c r="J450" s="10">
        <v>46297</v>
      </c>
      <c r="K450" t="s">
        <v>479</v>
      </c>
      <c r="L450" t="s">
        <v>308</v>
      </c>
    </row>
    <row r="451" spans="1:12" x14ac:dyDescent="0.25">
      <c r="A451" t="s">
        <v>235</v>
      </c>
      <c r="B451" t="s">
        <v>425</v>
      </c>
      <c r="C451" t="s">
        <v>426</v>
      </c>
      <c r="D451" t="s">
        <v>427</v>
      </c>
      <c r="E451" s="4">
        <v>541</v>
      </c>
      <c r="F451" t="s">
        <v>372</v>
      </c>
      <c r="G451" s="9">
        <v>1</v>
      </c>
      <c r="H451" s="4">
        <v>541</v>
      </c>
      <c r="I451" t="s">
        <v>306</v>
      </c>
      <c r="J451" s="10">
        <v>46298</v>
      </c>
      <c r="L451" t="s">
        <v>308</v>
      </c>
    </row>
    <row r="452" spans="1:12" x14ac:dyDescent="0.25">
      <c r="A452" t="s">
        <v>235</v>
      </c>
      <c r="B452" t="s">
        <v>434</v>
      </c>
      <c r="C452" t="s">
        <v>435</v>
      </c>
      <c r="D452" t="s">
        <v>436</v>
      </c>
      <c r="E452" s="4">
        <v>645</v>
      </c>
      <c r="F452" t="s">
        <v>372</v>
      </c>
      <c r="G452" s="9">
        <v>1</v>
      </c>
      <c r="H452" s="4">
        <v>645</v>
      </c>
      <c r="I452" t="s">
        <v>306</v>
      </c>
      <c r="J452" s="10">
        <v>46299</v>
      </c>
      <c r="L452" t="s">
        <v>308</v>
      </c>
    </row>
    <row r="453" spans="1:12" x14ac:dyDescent="0.25">
      <c r="A453" t="s">
        <v>235</v>
      </c>
      <c r="B453" t="s">
        <v>449</v>
      </c>
      <c r="C453" t="s">
        <v>450</v>
      </c>
      <c r="D453" t="s">
        <v>451</v>
      </c>
      <c r="E453" s="4">
        <v>6950</v>
      </c>
      <c r="F453" t="s">
        <v>372</v>
      </c>
      <c r="G453" s="9">
        <v>1</v>
      </c>
      <c r="H453" s="4">
        <v>6950</v>
      </c>
      <c r="I453" t="s">
        <v>306</v>
      </c>
      <c r="J453" s="10">
        <v>46302</v>
      </c>
      <c r="L453" t="s">
        <v>308</v>
      </c>
    </row>
    <row r="454" spans="1:12" x14ac:dyDescent="0.25">
      <c r="A454" t="s">
        <v>238</v>
      </c>
      <c r="B454" t="s">
        <v>303</v>
      </c>
      <c r="C454" t="s">
        <v>480</v>
      </c>
      <c r="E454" s="4">
        <v>11200</v>
      </c>
      <c r="F454" t="s">
        <v>305</v>
      </c>
      <c r="G454" s="9">
        <v>5.5378</v>
      </c>
      <c r="H454" s="4">
        <v>62023.36</v>
      </c>
      <c r="I454" t="s">
        <v>306</v>
      </c>
      <c r="J454" s="10">
        <v>46251</v>
      </c>
      <c r="K454" t="s">
        <v>481</v>
      </c>
      <c r="L454" t="s">
        <v>308</v>
      </c>
    </row>
    <row r="455" spans="1:12" x14ac:dyDescent="0.25">
      <c r="A455" t="s">
        <v>238</v>
      </c>
      <c r="B455" t="s">
        <v>309</v>
      </c>
      <c r="C455" t="s">
        <v>310</v>
      </c>
      <c r="E455" s="4">
        <v>1146</v>
      </c>
      <c r="F455" t="s">
        <v>305</v>
      </c>
      <c r="G455" s="9">
        <v>5.5378</v>
      </c>
      <c r="H455" s="4">
        <v>6346.319</v>
      </c>
      <c r="I455" t="s">
        <v>306</v>
      </c>
      <c r="J455" s="10">
        <v>46251</v>
      </c>
      <c r="K455" t="s">
        <v>481</v>
      </c>
      <c r="L455" t="s">
        <v>308</v>
      </c>
    </row>
    <row r="456" spans="1:12" x14ac:dyDescent="0.25">
      <c r="A456" t="s">
        <v>238</v>
      </c>
      <c r="B456" t="s">
        <v>311</v>
      </c>
      <c r="C456" t="s">
        <v>312</v>
      </c>
      <c r="E456" s="4">
        <v>159</v>
      </c>
      <c r="F456" t="s">
        <v>305</v>
      </c>
      <c r="G456" s="9">
        <v>5.5378</v>
      </c>
      <c r="H456" s="4">
        <v>880.51</v>
      </c>
      <c r="I456" t="s">
        <v>306</v>
      </c>
      <c r="J456" s="10">
        <v>46251</v>
      </c>
      <c r="L456" t="s">
        <v>308</v>
      </c>
    </row>
    <row r="457" spans="1:12" x14ac:dyDescent="0.25">
      <c r="A457" t="s">
        <v>238</v>
      </c>
      <c r="B457" t="s">
        <v>313</v>
      </c>
      <c r="C457" t="s">
        <v>314</v>
      </c>
      <c r="E457" s="4">
        <v>200</v>
      </c>
      <c r="F457" t="s">
        <v>305</v>
      </c>
      <c r="G457" s="9">
        <v>5.5378</v>
      </c>
      <c r="H457" s="4">
        <v>1107.56</v>
      </c>
      <c r="I457" t="s">
        <v>306</v>
      </c>
      <c r="J457" s="10">
        <v>46251</v>
      </c>
      <c r="L457" t="s">
        <v>308</v>
      </c>
    </row>
    <row r="458" spans="1:12" x14ac:dyDescent="0.25">
      <c r="A458" t="s">
        <v>238</v>
      </c>
      <c r="B458" t="s">
        <v>328</v>
      </c>
      <c r="C458" t="s">
        <v>394</v>
      </c>
      <c r="D458" t="s">
        <v>330</v>
      </c>
      <c r="E458" s="4">
        <v>408</v>
      </c>
      <c r="F458" t="s">
        <v>305</v>
      </c>
      <c r="G458" s="9">
        <v>5.5483</v>
      </c>
      <c r="H458" s="4">
        <v>2263.706</v>
      </c>
      <c r="I458" t="s">
        <v>306</v>
      </c>
      <c r="J458" s="10">
        <v>46253</v>
      </c>
      <c r="L458" t="s">
        <v>308</v>
      </c>
    </row>
    <row r="459" spans="1:12" x14ac:dyDescent="0.25">
      <c r="A459" t="s">
        <v>238</v>
      </c>
      <c r="B459" t="s">
        <v>338</v>
      </c>
      <c r="C459" t="s">
        <v>339</v>
      </c>
      <c r="D459" t="s">
        <v>340</v>
      </c>
      <c r="E459" s="4">
        <v>75</v>
      </c>
      <c r="F459" t="s">
        <v>305</v>
      </c>
      <c r="G459" s="9">
        <v>5.5495</v>
      </c>
      <c r="H459" s="4">
        <v>416.213</v>
      </c>
      <c r="I459" t="s">
        <v>306</v>
      </c>
      <c r="J459" s="10">
        <v>46257</v>
      </c>
      <c r="L459" t="s">
        <v>308</v>
      </c>
    </row>
    <row r="460" spans="1:12" x14ac:dyDescent="0.25">
      <c r="A460" t="s">
        <v>238</v>
      </c>
      <c r="B460" t="s">
        <v>30</v>
      </c>
      <c r="C460" t="s">
        <v>474</v>
      </c>
      <c r="D460" t="s">
        <v>396</v>
      </c>
      <c r="E460" s="4">
        <v>1188.5</v>
      </c>
      <c r="F460" t="s">
        <v>305</v>
      </c>
      <c r="G460" s="9">
        <v>5.5554</v>
      </c>
      <c r="H460" s="4">
        <v>6602.593</v>
      </c>
      <c r="I460" t="s">
        <v>306</v>
      </c>
      <c r="J460" s="10">
        <v>46260</v>
      </c>
      <c r="L460" t="s">
        <v>308</v>
      </c>
    </row>
    <row r="461" spans="1:12" x14ac:dyDescent="0.25">
      <c r="A461" t="s">
        <v>238</v>
      </c>
      <c r="B461" t="s">
        <v>353</v>
      </c>
      <c r="C461" t="s">
        <v>475</v>
      </c>
      <c r="D461" t="s">
        <v>340</v>
      </c>
      <c r="E461" s="4">
        <v>150</v>
      </c>
      <c r="F461" t="s">
        <v>305</v>
      </c>
      <c r="G461" s="9">
        <v>5.5554</v>
      </c>
      <c r="H461" s="4">
        <v>833.31</v>
      </c>
      <c r="I461" t="s">
        <v>306</v>
      </c>
      <c r="J461" s="10">
        <v>46260</v>
      </c>
      <c r="L461" t="s">
        <v>308</v>
      </c>
    </row>
    <row r="462" spans="1:12" x14ac:dyDescent="0.25">
      <c r="A462" t="s">
        <v>238</v>
      </c>
      <c r="B462" t="s">
        <v>355</v>
      </c>
      <c r="C462" t="s">
        <v>356</v>
      </c>
      <c r="D462" t="s">
        <v>357</v>
      </c>
      <c r="E462" s="4">
        <v>168</v>
      </c>
      <c r="F462" t="s">
        <v>305</v>
      </c>
      <c r="G462" s="9">
        <v>5.5554</v>
      </c>
      <c r="H462" s="4">
        <v>933.307</v>
      </c>
      <c r="I462" t="s">
        <v>306</v>
      </c>
      <c r="J462" s="10">
        <v>46260</v>
      </c>
      <c r="L462" t="s">
        <v>308</v>
      </c>
    </row>
    <row r="463" spans="1:12" x14ac:dyDescent="0.25">
      <c r="A463" t="s">
        <v>238</v>
      </c>
      <c r="B463" t="s">
        <v>398</v>
      </c>
      <c r="C463" t="s">
        <v>399</v>
      </c>
      <c r="D463" t="s">
        <v>400</v>
      </c>
      <c r="E463" s="4">
        <v>751</v>
      </c>
      <c r="F463" t="s">
        <v>372</v>
      </c>
      <c r="G463" s="9">
        <v>1</v>
      </c>
      <c r="H463" s="4">
        <v>751</v>
      </c>
      <c r="I463" t="s">
        <v>306</v>
      </c>
      <c r="J463" s="10">
        <v>46296</v>
      </c>
      <c r="L463" t="s">
        <v>308</v>
      </c>
    </row>
    <row r="464" spans="1:12" x14ac:dyDescent="0.25">
      <c r="A464" t="s">
        <v>238</v>
      </c>
      <c r="B464" t="s">
        <v>370</v>
      </c>
      <c r="C464" t="s">
        <v>423</v>
      </c>
      <c r="E464" s="4">
        <v>14112</v>
      </c>
      <c r="F464" t="s">
        <v>372</v>
      </c>
      <c r="G464" s="9">
        <v>1</v>
      </c>
      <c r="H464" s="4">
        <v>14112</v>
      </c>
      <c r="I464" t="s">
        <v>306</v>
      </c>
      <c r="J464" s="10">
        <v>46300</v>
      </c>
      <c r="K464" t="s">
        <v>482</v>
      </c>
      <c r="L464" t="s">
        <v>308</v>
      </c>
    </row>
    <row r="465" spans="1:12" x14ac:dyDescent="0.25">
      <c r="A465" t="s">
        <v>238</v>
      </c>
      <c r="B465" t="s">
        <v>425</v>
      </c>
      <c r="C465" t="s">
        <v>426</v>
      </c>
      <c r="D465" t="s">
        <v>427</v>
      </c>
      <c r="E465" s="4">
        <v>595</v>
      </c>
      <c r="F465" t="s">
        <v>372</v>
      </c>
      <c r="G465" s="9">
        <v>1</v>
      </c>
      <c r="H465" s="4">
        <v>595</v>
      </c>
      <c r="I465" t="s">
        <v>306</v>
      </c>
      <c r="J465" s="10">
        <v>46301</v>
      </c>
      <c r="L465" t="s">
        <v>308</v>
      </c>
    </row>
    <row r="466" spans="1:12" x14ac:dyDescent="0.25">
      <c r="A466" t="s">
        <v>238</v>
      </c>
      <c r="B466" t="s">
        <v>434</v>
      </c>
      <c r="C466" t="s">
        <v>435</v>
      </c>
      <c r="D466" t="s">
        <v>436</v>
      </c>
      <c r="E466" s="4">
        <v>370</v>
      </c>
      <c r="F466" t="s">
        <v>372</v>
      </c>
      <c r="G466" s="9">
        <v>1</v>
      </c>
      <c r="H466" s="4">
        <v>370</v>
      </c>
      <c r="I466" t="s">
        <v>306</v>
      </c>
      <c r="J466" s="10">
        <v>46302</v>
      </c>
      <c r="L466" t="s">
        <v>308</v>
      </c>
    </row>
    <row r="467" spans="1:12" x14ac:dyDescent="0.25">
      <c r="A467" t="s">
        <v>238</v>
      </c>
      <c r="B467" t="s">
        <v>449</v>
      </c>
      <c r="C467" t="s">
        <v>450</v>
      </c>
      <c r="D467" t="s">
        <v>451</v>
      </c>
      <c r="E467" s="4">
        <v>2148</v>
      </c>
      <c r="F467" t="s">
        <v>372</v>
      </c>
      <c r="G467" s="9">
        <v>1</v>
      </c>
      <c r="H467" s="4">
        <v>2148</v>
      </c>
      <c r="I467" t="s">
        <v>306</v>
      </c>
      <c r="J467" s="10">
        <v>46305</v>
      </c>
      <c r="L467" t="s">
        <v>308</v>
      </c>
    </row>
    <row r="468" spans="1:12" x14ac:dyDescent="0.25">
      <c r="A468" t="s">
        <v>238</v>
      </c>
      <c r="B468" t="s">
        <v>445</v>
      </c>
      <c r="C468" t="s">
        <v>445</v>
      </c>
      <c r="E468" s="4">
        <v>1521</v>
      </c>
      <c r="F468" t="s">
        <v>372</v>
      </c>
      <c r="G468" s="9">
        <v>1</v>
      </c>
      <c r="H468" s="4">
        <v>1521</v>
      </c>
      <c r="I468" t="s">
        <v>306</v>
      </c>
      <c r="J468" s="10">
        <v>46305</v>
      </c>
      <c r="L468" t="s">
        <v>308</v>
      </c>
    </row>
    <row r="469" spans="1:12" x14ac:dyDescent="0.25">
      <c r="A469" t="s">
        <v>242</v>
      </c>
      <c r="B469" t="s">
        <v>303</v>
      </c>
      <c r="C469" t="s">
        <v>483</v>
      </c>
      <c r="E469" s="4">
        <v>19975</v>
      </c>
      <c r="F469" t="s">
        <v>305</v>
      </c>
      <c r="G469" s="9">
        <v>5.5378</v>
      </c>
      <c r="H469" s="4">
        <v>110617.555</v>
      </c>
      <c r="I469" t="s">
        <v>306</v>
      </c>
      <c r="J469" s="10">
        <v>46251</v>
      </c>
      <c r="K469" t="s">
        <v>484</v>
      </c>
      <c r="L469" t="s">
        <v>308</v>
      </c>
    </row>
    <row r="470" spans="1:12" x14ac:dyDescent="0.25">
      <c r="A470" t="s">
        <v>242</v>
      </c>
      <c r="B470" t="s">
        <v>309</v>
      </c>
      <c r="C470" t="s">
        <v>310</v>
      </c>
      <c r="E470" s="4">
        <v>1848</v>
      </c>
      <c r="F470" t="s">
        <v>305</v>
      </c>
      <c r="G470" s="9">
        <v>5.5378</v>
      </c>
      <c r="H470" s="4">
        <v>10233.854</v>
      </c>
      <c r="I470" t="s">
        <v>306</v>
      </c>
      <c r="J470" s="10">
        <v>46251</v>
      </c>
      <c r="K470" t="s">
        <v>484</v>
      </c>
      <c r="L470" t="s">
        <v>308</v>
      </c>
    </row>
    <row r="471" spans="1:12" x14ac:dyDescent="0.25">
      <c r="A471" t="s">
        <v>242</v>
      </c>
      <c r="B471" t="s">
        <v>311</v>
      </c>
      <c r="C471" t="s">
        <v>312</v>
      </c>
      <c r="E471" s="4">
        <v>159</v>
      </c>
      <c r="F471" t="s">
        <v>305</v>
      </c>
      <c r="G471" s="9">
        <v>5.5378</v>
      </c>
      <c r="H471" s="4">
        <v>880.51</v>
      </c>
      <c r="I471" t="s">
        <v>306</v>
      </c>
      <c r="J471" s="10">
        <v>46251</v>
      </c>
      <c r="L471" t="s">
        <v>308</v>
      </c>
    </row>
    <row r="472" spans="1:12" x14ac:dyDescent="0.25">
      <c r="A472" t="s">
        <v>242</v>
      </c>
      <c r="B472" t="s">
        <v>313</v>
      </c>
      <c r="C472" t="s">
        <v>314</v>
      </c>
      <c r="E472" s="4">
        <v>200</v>
      </c>
      <c r="F472" t="s">
        <v>305</v>
      </c>
      <c r="G472" s="9">
        <v>5.5378</v>
      </c>
      <c r="H472" s="4">
        <v>1107.56</v>
      </c>
      <c r="I472" t="s">
        <v>306</v>
      </c>
      <c r="J472" s="10">
        <v>46251</v>
      </c>
      <c r="L472" t="s">
        <v>308</v>
      </c>
    </row>
    <row r="473" spans="1:12" x14ac:dyDescent="0.25">
      <c r="A473" t="s">
        <v>242</v>
      </c>
      <c r="B473" t="s">
        <v>328</v>
      </c>
      <c r="C473" t="s">
        <v>362</v>
      </c>
      <c r="D473" t="s">
        <v>330</v>
      </c>
      <c r="E473" s="4">
        <v>752</v>
      </c>
      <c r="F473" t="s">
        <v>305</v>
      </c>
      <c r="G473" s="9">
        <v>5.5483</v>
      </c>
      <c r="H473" s="4">
        <v>4172.322</v>
      </c>
      <c r="I473" t="s">
        <v>306</v>
      </c>
      <c r="J473" s="10">
        <v>46253</v>
      </c>
      <c r="L473" t="s">
        <v>308</v>
      </c>
    </row>
    <row r="474" spans="1:12" x14ac:dyDescent="0.25">
      <c r="A474" t="s">
        <v>242</v>
      </c>
      <c r="B474" t="s">
        <v>338</v>
      </c>
      <c r="C474" t="s">
        <v>339</v>
      </c>
      <c r="D474" t="s">
        <v>340</v>
      </c>
      <c r="E474" s="4">
        <v>75</v>
      </c>
      <c r="F474" t="s">
        <v>305</v>
      </c>
      <c r="G474" s="9">
        <v>5.5495</v>
      </c>
      <c r="H474" s="4">
        <v>416.213</v>
      </c>
      <c r="I474" t="s">
        <v>306</v>
      </c>
      <c r="J474" s="10">
        <v>46257</v>
      </c>
      <c r="L474" t="s">
        <v>308</v>
      </c>
    </row>
    <row r="475" spans="1:12" x14ac:dyDescent="0.25">
      <c r="A475" t="s">
        <v>242</v>
      </c>
      <c r="B475" t="s">
        <v>30</v>
      </c>
      <c r="C475" t="s">
        <v>474</v>
      </c>
      <c r="D475" t="s">
        <v>396</v>
      </c>
      <c r="E475" s="4">
        <v>1188.5</v>
      </c>
      <c r="F475" t="s">
        <v>305</v>
      </c>
      <c r="G475" s="9">
        <v>5.5554</v>
      </c>
      <c r="H475" s="4">
        <v>6602.593</v>
      </c>
      <c r="I475" t="s">
        <v>306</v>
      </c>
      <c r="J475" s="10">
        <v>46260</v>
      </c>
      <c r="L475" t="s">
        <v>308</v>
      </c>
    </row>
    <row r="476" spans="1:12" x14ac:dyDescent="0.25">
      <c r="A476" t="s">
        <v>242</v>
      </c>
      <c r="B476" t="s">
        <v>353</v>
      </c>
      <c r="C476" t="s">
        <v>475</v>
      </c>
      <c r="D476" t="s">
        <v>340</v>
      </c>
      <c r="E476" s="4">
        <v>150</v>
      </c>
      <c r="F476" t="s">
        <v>305</v>
      </c>
      <c r="G476" s="9">
        <v>5.5554</v>
      </c>
      <c r="H476" s="4">
        <v>833.31</v>
      </c>
      <c r="I476" t="s">
        <v>306</v>
      </c>
      <c r="J476" s="10">
        <v>46260</v>
      </c>
      <c r="L476" t="s">
        <v>308</v>
      </c>
    </row>
    <row r="477" spans="1:12" x14ac:dyDescent="0.25">
      <c r="A477" t="s">
        <v>242</v>
      </c>
      <c r="B477" t="s">
        <v>355</v>
      </c>
      <c r="C477" t="s">
        <v>356</v>
      </c>
      <c r="D477" t="s">
        <v>357</v>
      </c>
      <c r="E477" s="4">
        <v>299.625</v>
      </c>
      <c r="F477" t="s">
        <v>305</v>
      </c>
      <c r="G477" s="9">
        <v>5.5554</v>
      </c>
      <c r="H477" s="4">
        <v>1664.537</v>
      </c>
      <c r="I477" t="s">
        <v>306</v>
      </c>
      <c r="J477" s="10">
        <v>46260</v>
      </c>
      <c r="L477" t="s">
        <v>308</v>
      </c>
    </row>
    <row r="478" spans="1:12" x14ac:dyDescent="0.25">
      <c r="A478" t="s">
        <v>242</v>
      </c>
      <c r="B478" t="s">
        <v>398</v>
      </c>
      <c r="C478" t="s">
        <v>399</v>
      </c>
      <c r="D478" t="s">
        <v>400</v>
      </c>
      <c r="E478" s="4">
        <v>836</v>
      </c>
      <c r="F478" t="s">
        <v>372</v>
      </c>
      <c r="G478" s="9">
        <v>1</v>
      </c>
      <c r="H478" s="4">
        <v>836</v>
      </c>
      <c r="I478" t="s">
        <v>306</v>
      </c>
      <c r="J478" s="10">
        <v>46296</v>
      </c>
      <c r="L478" t="s">
        <v>308</v>
      </c>
    </row>
    <row r="479" spans="1:12" x14ac:dyDescent="0.25">
      <c r="A479" t="s">
        <v>242</v>
      </c>
      <c r="B479" t="s">
        <v>370</v>
      </c>
      <c r="C479" t="s">
        <v>423</v>
      </c>
      <c r="E479" s="4">
        <v>25169</v>
      </c>
      <c r="F479" t="s">
        <v>372</v>
      </c>
      <c r="G479" s="9">
        <v>1</v>
      </c>
      <c r="H479" s="4">
        <v>25169</v>
      </c>
      <c r="I479" t="s">
        <v>306</v>
      </c>
      <c r="J479" s="10">
        <v>46300</v>
      </c>
      <c r="K479" t="s">
        <v>485</v>
      </c>
      <c r="L479" t="s">
        <v>308</v>
      </c>
    </row>
    <row r="480" spans="1:12" x14ac:dyDescent="0.25">
      <c r="A480" t="s">
        <v>242</v>
      </c>
      <c r="B480" t="s">
        <v>425</v>
      </c>
      <c r="C480" t="s">
        <v>426</v>
      </c>
      <c r="D480" t="s">
        <v>427</v>
      </c>
      <c r="E480" s="4">
        <v>432</v>
      </c>
      <c r="F480" t="s">
        <v>372</v>
      </c>
      <c r="G480" s="9">
        <v>1</v>
      </c>
      <c r="H480" s="4">
        <v>432</v>
      </c>
      <c r="I480" t="s">
        <v>306</v>
      </c>
      <c r="J480" s="10">
        <v>46301</v>
      </c>
      <c r="L480" t="s">
        <v>308</v>
      </c>
    </row>
    <row r="481" spans="1:12" x14ac:dyDescent="0.25">
      <c r="A481" t="s">
        <v>242</v>
      </c>
      <c r="B481" t="s">
        <v>434</v>
      </c>
      <c r="C481" t="s">
        <v>435</v>
      </c>
      <c r="D481" t="s">
        <v>436</v>
      </c>
      <c r="E481" s="4">
        <v>540</v>
      </c>
      <c r="F481" t="s">
        <v>372</v>
      </c>
      <c r="G481" s="9">
        <v>1</v>
      </c>
      <c r="H481" s="4">
        <v>540</v>
      </c>
      <c r="I481" t="s">
        <v>306</v>
      </c>
      <c r="J481" s="10">
        <v>46302</v>
      </c>
      <c r="L481" t="s">
        <v>308</v>
      </c>
    </row>
    <row r="482" spans="1:12" x14ac:dyDescent="0.25">
      <c r="A482" t="s">
        <v>246</v>
      </c>
      <c r="B482" t="s">
        <v>303</v>
      </c>
      <c r="C482" t="s">
        <v>486</v>
      </c>
      <c r="E482" s="4">
        <v>6275</v>
      </c>
      <c r="F482" t="s">
        <v>305</v>
      </c>
      <c r="G482" s="9">
        <v>5.5442</v>
      </c>
      <c r="H482" s="4">
        <v>34789.855</v>
      </c>
      <c r="I482" t="s">
        <v>306</v>
      </c>
      <c r="J482" s="10">
        <v>46247</v>
      </c>
      <c r="K482" t="s">
        <v>487</v>
      </c>
      <c r="L482" t="s">
        <v>308</v>
      </c>
    </row>
    <row r="483" spans="1:12" x14ac:dyDescent="0.25">
      <c r="A483" t="s">
        <v>246</v>
      </c>
      <c r="B483" t="s">
        <v>309</v>
      </c>
      <c r="C483" t="s">
        <v>310</v>
      </c>
      <c r="E483" s="4">
        <v>752</v>
      </c>
      <c r="F483" t="s">
        <v>305</v>
      </c>
      <c r="G483" s="9">
        <v>5.5442</v>
      </c>
      <c r="H483" s="4">
        <v>4169.238</v>
      </c>
      <c r="I483" t="s">
        <v>306</v>
      </c>
      <c r="J483" s="10">
        <v>46247</v>
      </c>
      <c r="K483" t="s">
        <v>487</v>
      </c>
      <c r="L483" t="s">
        <v>308</v>
      </c>
    </row>
    <row r="484" spans="1:12" x14ac:dyDescent="0.25">
      <c r="A484" t="s">
        <v>246</v>
      </c>
      <c r="B484" t="s">
        <v>311</v>
      </c>
      <c r="C484" t="s">
        <v>312</v>
      </c>
      <c r="E484" s="4">
        <v>135</v>
      </c>
      <c r="F484" t="s">
        <v>305</v>
      </c>
      <c r="G484" s="9">
        <v>5.5442</v>
      </c>
      <c r="H484" s="4">
        <v>748.467</v>
      </c>
      <c r="I484" t="s">
        <v>306</v>
      </c>
      <c r="J484" s="10">
        <v>46247</v>
      </c>
      <c r="L484" t="s">
        <v>308</v>
      </c>
    </row>
    <row r="485" spans="1:12" x14ac:dyDescent="0.25">
      <c r="A485" t="s">
        <v>246</v>
      </c>
      <c r="B485" t="s">
        <v>313</v>
      </c>
      <c r="C485" t="s">
        <v>314</v>
      </c>
      <c r="E485" s="4">
        <v>200</v>
      </c>
      <c r="F485" t="s">
        <v>305</v>
      </c>
      <c r="G485" s="9">
        <v>5.5442</v>
      </c>
      <c r="H485" s="4">
        <v>1108.84</v>
      </c>
      <c r="I485" t="s">
        <v>306</v>
      </c>
      <c r="J485" s="10">
        <v>46247</v>
      </c>
      <c r="L485" t="s">
        <v>308</v>
      </c>
    </row>
    <row r="486" spans="1:12" x14ac:dyDescent="0.25">
      <c r="A486" t="s">
        <v>246</v>
      </c>
      <c r="B486" t="s">
        <v>328</v>
      </c>
      <c r="C486" t="s">
        <v>335</v>
      </c>
      <c r="D486" t="s">
        <v>330</v>
      </c>
      <c r="E486" s="4">
        <v>339</v>
      </c>
      <c r="F486" t="s">
        <v>305</v>
      </c>
      <c r="G486" s="9">
        <v>5.5361</v>
      </c>
      <c r="H486" s="4">
        <v>1876.738</v>
      </c>
      <c r="I486" t="s">
        <v>306</v>
      </c>
      <c r="J486" s="10">
        <v>46249</v>
      </c>
      <c r="L486" t="s">
        <v>308</v>
      </c>
    </row>
    <row r="487" spans="1:12" x14ac:dyDescent="0.25">
      <c r="A487" t="s">
        <v>246</v>
      </c>
      <c r="B487" t="s">
        <v>338</v>
      </c>
      <c r="C487" t="s">
        <v>339</v>
      </c>
      <c r="D487" t="s">
        <v>340</v>
      </c>
      <c r="E487" s="4">
        <v>75</v>
      </c>
      <c r="F487" t="s">
        <v>305</v>
      </c>
      <c r="G487" s="9">
        <v>5.5483</v>
      </c>
      <c r="H487" s="4">
        <v>416.123</v>
      </c>
      <c r="I487" t="s">
        <v>306</v>
      </c>
      <c r="J487" s="10">
        <v>46253</v>
      </c>
      <c r="L487" t="s">
        <v>308</v>
      </c>
    </row>
    <row r="488" spans="1:12" x14ac:dyDescent="0.25">
      <c r="A488" t="s">
        <v>246</v>
      </c>
      <c r="B488" t="s">
        <v>30</v>
      </c>
      <c r="C488" t="s">
        <v>488</v>
      </c>
      <c r="D488" t="s">
        <v>368</v>
      </c>
      <c r="E488" s="4">
        <v>1052</v>
      </c>
      <c r="F488" t="s">
        <v>305</v>
      </c>
      <c r="G488" s="9">
        <v>5.554</v>
      </c>
      <c r="H488" s="4">
        <v>5842.808</v>
      </c>
      <c r="I488" t="s">
        <v>306</v>
      </c>
      <c r="J488" s="10">
        <v>46255</v>
      </c>
      <c r="L488" t="s">
        <v>308</v>
      </c>
    </row>
    <row r="489" spans="1:12" x14ac:dyDescent="0.25">
      <c r="A489" t="s">
        <v>246</v>
      </c>
      <c r="B489" t="s">
        <v>353</v>
      </c>
      <c r="C489" t="s">
        <v>489</v>
      </c>
      <c r="D489" t="s">
        <v>340</v>
      </c>
      <c r="E489" s="4">
        <v>150</v>
      </c>
      <c r="F489" t="s">
        <v>305</v>
      </c>
      <c r="G489" s="9">
        <v>5.554</v>
      </c>
      <c r="H489" s="4">
        <v>833.1</v>
      </c>
      <c r="I489" t="s">
        <v>306</v>
      </c>
      <c r="J489" s="10">
        <v>46255</v>
      </c>
      <c r="L489" t="s">
        <v>308</v>
      </c>
    </row>
    <row r="490" spans="1:12" x14ac:dyDescent="0.25">
      <c r="A490" t="s">
        <v>246</v>
      </c>
      <c r="B490" t="s">
        <v>355</v>
      </c>
      <c r="C490" t="s">
        <v>356</v>
      </c>
      <c r="D490" t="s">
        <v>357</v>
      </c>
      <c r="E490" s="4">
        <v>94.125</v>
      </c>
      <c r="F490" t="s">
        <v>305</v>
      </c>
      <c r="G490" s="9">
        <v>5.554</v>
      </c>
      <c r="H490" s="4">
        <v>522.77</v>
      </c>
      <c r="I490" t="s">
        <v>306</v>
      </c>
      <c r="J490" s="10">
        <v>46255</v>
      </c>
      <c r="L490" t="s">
        <v>308</v>
      </c>
    </row>
    <row r="491" spans="1:12" x14ac:dyDescent="0.25">
      <c r="A491" t="s">
        <v>246</v>
      </c>
      <c r="B491" t="s">
        <v>398</v>
      </c>
      <c r="C491" t="s">
        <v>399</v>
      </c>
      <c r="D491" t="s">
        <v>400</v>
      </c>
      <c r="E491" s="4">
        <v>823</v>
      </c>
      <c r="F491" t="s">
        <v>372</v>
      </c>
      <c r="G491" s="9">
        <v>1</v>
      </c>
      <c r="H491" s="4">
        <v>823</v>
      </c>
      <c r="I491" t="s">
        <v>306</v>
      </c>
      <c r="J491" s="10">
        <v>46292</v>
      </c>
      <c r="L491" t="s">
        <v>308</v>
      </c>
    </row>
    <row r="492" spans="1:12" x14ac:dyDescent="0.25">
      <c r="A492" t="s">
        <v>246</v>
      </c>
      <c r="B492" t="s">
        <v>370</v>
      </c>
      <c r="C492" t="s">
        <v>423</v>
      </c>
      <c r="E492" s="4">
        <v>7907</v>
      </c>
      <c r="F492" t="s">
        <v>372</v>
      </c>
      <c r="G492" s="9">
        <v>1</v>
      </c>
      <c r="H492" s="4">
        <v>7907</v>
      </c>
      <c r="I492" t="s">
        <v>306</v>
      </c>
      <c r="J492" s="10">
        <v>46296</v>
      </c>
      <c r="K492" t="s">
        <v>490</v>
      </c>
      <c r="L492" t="s">
        <v>308</v>
      </c>
    </row>
    <row r="493" spans="1:12" x14ac:dyDescent="0.25">
      <c r="A493" t="s">
        <v>246</v>
      </c>
      <c r="B493" t="s">
        <v>425</v>
      </c>
      <c r="C493" t="s">
        <v>426</v>
      </c>
      <c r="D493" t="s">
        <v>427</v>
      </c>
      <c r="E493" s="4">
        <v>422</v>
      </c>
      <c r="F493" t="s">
        <v>372</v>
      </c>
      <c r="G493" s="9">
        <v>1</v>
      </c>
      <c r="H493" s="4">
        <v>422</v>
      </c>
      <c r="I493" t="s">
        <v>306</v>
      </c>
      <c r="J493" s="10">
        <v>46297</v>
      </c>
      <c r="L493" t="s">
        <v>308</v>
      </c>
    </row>
    <row r="494" spans="1:12" x14ac:dyDescent="0.25">
      <c r="A494" t="s">
        <v>246</v>
      </c>
      <c r="B494" t="s">
        <v>434</v>
      </c>
      <c r="C494" t="s">
        <v>435</v>
      </c>
      <c r="D494" t="s">
        <v>436</v>
      </c>
      <c r="E494" s="4">
        <v>485</v>
      </c>
      <c r="F494" t="s">
        <v>372</v>
      </c>
      <c r="G494" s="9">
        <v>1</v>
      </c>
      <c r="H494" s="4">
        <v>485</v>
      </c>
      <c r="I494" t="s">
        <v>306</v>
      </c>
      <c r="J494" s="10">
        <v>46298</v>
      </c>
      <c r="L494" t="s">
        <v>308</v>
      </c>
    </row>
    <row r="495" spans="1:12" x14ac:dyDescent="0.25">
      <c r="A495" t="s">
        <v>246</v>
      </c>
      <c r="B495" t="s">
        <v>449</v>
      </c>
      <c r="C495" t="s">
        <v>450</v>
      </c>
      <c r="D495" t="s">
        <v>451</v>
      </c>
      <c r="E495" s="4">
        <v>3942</v>
      </c>
      <c r="F495" t="s">
        <v>372</v>
      </c>
      <c r="G495" s="9">
        <v>1</v>
      </c>
      <c r="H495" s="4">
        <v>3942</v>
      </c>
      <c r="I495" t="s">
        <v>306</v>
      </c>
      <c r="J495" s="10">
        <v>46301</v>
      </c>
      <c r="L495" t="s">
        <v>308</v>
      </c>
    </row>
    <row r="496" spans="1:12" x14ac:dyDescent="0.25">
      <c r="A496" t="s">
        <v>250</v>
      </c>
      <c r="B496" t="s">
        <v>303</v>
      </c>
      <c r="C496" t="s">
        <v>491</v>
      </c>
      <c r="E496" s="4">
        <v>15175</v>
      </c>
      <c r="F496" t="s">
        <v>305</v>
      </c>
      <c r="G496" s="9">
        <v>5.5318</v>
      </c>
      <c r="H496" s="4">
        <v>83945.065</v>
      </c>
      <c r="I496" t="s">
        <v>306</v>
      </c>
      <c r="J496" s="10">
        <v>46244</v>
      </c>
      <c r="K496" t="s">
        <v>492</v>
      </c>
      <c r="L496" t="s">
        <v>308</v>
      </c>
    </row>
    <row r="497" spans="1:12" x14ac:dyDescent="0.25">
      <c r="A497" t="s">
        <v>250</v>
      </c>
      <c r="B497" t="s">
        <v>309</v>
      </c>
      <c r="C497" t="s">
        <v>310</v>
      </c>
      <c r="E497" s="4">
        <v>1464</v>
      </c>
      <c r="F497" t="s">
        <v>305</v>
      </c>
      <c r="G497" s="9">
        <v>5.5318</v>
      </c>
      <c r="H497" s="4">
        <v>8098.555</v>
      </c>
      <c r="I497" t="s">
        <v>306</v>
      </c>
      <c r="J497" s="10">
        <v>46244</v>
      </c>
      <c r="K497" t="s">
        <v>492</v>
      </c>
      <c r="L497" t="s">
        <v>308</v>
      </c>
    </row>
    <row r="498" spans="1:12" x14ac:dyDescent="0.25">
      <c r="A498" t="s">
        <v>250</v>
      </c>
      <c r="B498" t="s">
        <v>311</v>
      </c>
      <c r="C498" t="s">
        <v>312</v>
      </c>
      <c r="E498" s="4">
        <v>135</v>
      </c>
      <c r="F498" t="s">
        <v>305</v>
      </c>
      <c r="G498" s="9">
        <v>5.5318</v>
      </c>
      <c r="H498" s="4">
        <v>746.793</v>
      </c>
      <c r="I498" t="s">
        <v>306</v>
      </c>
      <c r="J498" s="10">
        <v>46244</v>
      </c>
      <c r="L498" t="s">
        <v>308</v>
      </c>
    </row>
    <row r="499" spans="1:12" x14ac:dyDescent="0.25">
      <c r="A499" t="s">
        <v>250</v>
      </c>
      <c r="B499" t="s">
        <v>313</v>
      </c>
      <c r="C499" t="s">
        <v>314</v>
      </c>
      <c r="E499" s="4">
        <v>200</v>
      </c>
      <c r="F499" t="s">
        <v>305</v>
      </c>
      <c r="G499" s="9">
        <v>5.5318</v>
      </c>
      <c r="H499" s="4">
        <v>1106.36</v>
      </c>
      <c r="I499" t="s">
        <v>306</v>
      </c>
      <c r="J499" s="10">
        <v>46244</v>
      </c>
      <c r="L499" t="s">
        <v>308</v>
      </c>
    </row>
    <row r="500" spans="1:12" x14ac:dyDescent="0.25">
      <c r="A500" t="s">
        <v>250</v>
      </c>
      <c r="B500" t="s">
        <v>328</v>
      </c>
      <c r="C500" t="s">
        <v>394</v>
      </c>
      <c r="D500" t="s">
        <v>330</v>
      </c>
      <c r="E500" s="4">
        <v>376</v>
      </c>
      <c r="F500" t="s">
        <v>305</v>
      </c>
      <c r="G500" s="9">
        <v>5.5443</v>
      </c>
      <c r="H500" s="4">
        <v>2084.657</v>
      </c>
      <c r="I500" t="s">
        <v>306</v>
      </c>
      <c r="J500" s="10">
        <v>46246</v>
      </c>
      <c r="L500" t="s">
        <v>308</v>
      </c>
    </row>
    <row r="501" spans="1:12" x14ac:dyDescent="0.25">
      <c r="A501" t="s">
        <v>250</v>
      </c>
      <c r="B501" t="s">
        <v>338</v>
      </c>
      <c r="C501" t="s">
        <v>339</v>
      </c>
      <c r="D501" t="s">
        <v>340</v>
      </c>
      <c r="E501" s="4">
        <v>75</v>
      </c>
      <c r="F501" t="s">
        <v>305</v>
      </c>
      <c r="G501" s="9">
        <v>5.534</v>
      </c>
      <c r="H501" s="4">
        <v>415.05</v>
      </c>
      <c r="I501" t="s">
        <v>306</v>
      </c>
      <c r="J501" s="10">
        <v>46250</v>
      </c>
      <c r="L501" t="s">
        <v>308</v>
      </c>
    </row>
    <row r="502" spans="1:12" x14ac:dyDescent="0.25">
      <c r="A502" t="s">
        <v>250</v>
      </c>
      <c r="B502" t="s">
        <v>30</v>
      </c>
      <c r="C502" t="s">
        <v>488</v>
      </c>
      <c r="D502" t="s">
        <v>368</v>
      </c>
      <c r="E502" s="4">
        <v>1052</v>
      </c>
      <c r="F502" t="s">
        <v>305</v>
      </c>
      <c r="G502" s="9">
        <v>5.554</v>
      </c>
      <c r="H502" s="4">
        <v>5842.808</v>
      </c>
      <c r="I502" t="s">
        <v>306</v>
      </c>
      <c r="J502" s="10">
        <v>46255</v>
      </c>
      <c r="L502" t="s">
        <v>308</v>
      </c>
    </row>
    <row r="503" spans="1:12" x14ac:dyDescent="0.25">
      <c r="A503" t="s">
        <v>250</v>
      </c>
      <c r="B503" t="s">
        <v>353</v>
      </c>
      <c r="C503" t="s">
        <v>489</v>
      </c>
      <c r="D503" t="s">
        <v>340</v>
      </c>
      <c r="E503" s="4">
        <v>150</v>
      </c>
      <c r="F503" t="s">
        <v>305</v>
      </c>
      <c r="G503" s="9">
        <v>5.554</v>
      </c>
      <c r="H503" s="4">
        <v>833.1</v>
      </c>
      <c r="I503" t="s">
        <v>306</v>
      </c>
      <c r="J503" s="10">
        <v>46255</v>
      </c>
      <c r="L503" t="s">
        <v>308</v>
      </c>
    </row>
    <row r="504" spans="1:12" x14ac:dyDescent="0.25">
      <c r="A504" t="s">
        <v>250</v>
      </c>
      <c r="B504" t="s">
        <v>355</v>
      </c>
      <c r="C504" t="s">
        <v>356</v>
      </c>
      <c r="D504" t="s">
        <v>357</v>
      </c>
      <c r="E504" s="4">
        <v>227.625</v>
      </c>
      <c r="F504" t="s">
        <v>305</v>
      </c>
      <c r="G504" s="9">
        <v>5.554</v>
      </c>
      <c r="H504" s="4">
        <v>1264.229</v>
      </c>
      <c r="I504" t="s">
        <v>306</v>
      </c>
      <c r="J504" s="10">
        <v>46255</v>
      </c>
      <c r="L504" t="s">
        <v>308</v>
      </c>
    </row>
    <row r="505" spans="1:12" x14ac:dyDescent="0.25">
      <c r="A505" t="s">
        <v>250</v>
      </c>
      <c r="B505" t="s">
        <v>398</v>
      </c>
      <c r="C505" t="s">
        <v>399</v>
      </c>
      <c r="D505" t="s">
        <v>400</v>
      </c>
      <c r="E505" s="4">
        <v>812</v>
      </c>
      <c r="F505" t="s">
        <v>372</v>
      </c>
      <c r="G505" s="9">
        <v>1</v>
      </c>
      <c r="H505" s="4">
        <v>812</v>
      </c>
      <c r="I505" t="s">
        <v>306</v>
      </c>
      <c r="J505" s="10">
        <v>46289</v>
      </c>
      <c r="L505" t="s">
        <v>308</v>
      </c>
    </row>
    <row r="506" spans="1:12" x14ac:dyDescent="0.25">
      <c r="A506" t="s">
        <v>250</v>
      </c>
      <c r="B506" t="s">
        <v>421</v>
      </c>
      <c r="C506" t="s">
        <v>422</v>
      </c>
      <c r="D506" t="s">
        <v>400</v>
      </c>
      <c r="E506" s="4">
        <v>378</v>
      </c>
      <c r="F506" t="s">
        <v>372</v>
      </c>
      <c r="G506" s="9">
        <v>1</v>
      </c>
      <c r="H506" s="4">
        <v>378</v>
      </c>
      <c r="I506" t="s">
        <v>306</v>
      </c>
      <c r="J506" s="10">
        <v>46294</v>
      </c>
      <c r="L506" t="s">
        <v>308</v>
      </c>
    </row>
    <row r="507" spans="1:12" x14ac:dyDescent="0.25">
      <c r="A507" t="s">
        <v>250</v>
      </c>
      <c r="B507" t="s">
        <v>370</v>
      </c>
      <c r="C507" t="s">
        <v>423</v>
      </c>
      <c r="E507" s="4">
        <v>19121</v>
      </c>
      <c r="F507" t="s">
        <v>372</v>
      </c>
      <c r="G507" s="9">
        <v>1</v>
      </c>
      <c r="H507" s="4">
        <v>19121</v>
      </c>
      <c r="I507" t="s">
        <v>306</v>
      </c>
      <c r="J507" s="10">
        <v>46293</v>
      </c>
      <c r="K507" t="s">
        <v>493</v>
      </c>
      <c r="L507" t="s">
        <v>308</v>
      </c>
    </row>
    <row r="508" spans="1:12" x14ac:dyDescent="0.25">
      <c r="A508" t="s">
        <v>250</v>
      </c>
      <c r="B508" t="s">
        <v>425</v>
      </c>
      <c r="C508" t="s">
        <v>426</v>
      </c>
      <c r="D508" t="s">
        <v>427</v>
      </c>
      <c r="E508" s="4">
        <v>507</v>
      </c>
      <c r="F508" t="s">
        <v>372</v>
      </c>
      <c r="G508" s="9">
        <v>1</v>
      </c>
      <c r="H508" s="4">
        <v>507</v>
      </c>
      <c r="I508" t="s">
        <v>306</v>
      </c>
      <c r="J508" s="10">
        <v>46294</v>
      </c>
      <c r="L508" t="s">
        <v>308</v>
      </c>
    </row>
    <row r="509" spans="1:12" x14ac:dyDescent="0.25">
      <c r="A509" t="s">
        <v>250</v>
      </c>
      <c r="B509" t="s">
        <v>434</v>
      </c>
      <c r="C509" t="s">
        <v>435</v>
      </c>
      <c r="D509" t="s">
        <v>436</v>
      </c>
      <c r="E509" s="4">
        <v>466</v>
      </c>
      <c r="F509" t="s">
        <v>372</v>
      </c>
      <c r="G509" s="9">
        <v>1</v>
      </c>
      <c r="H509" s="4">
        <v>466</v>
      </c>
      <c r="I509" t="s">
        <v>306</v>
      </c>
      <c r="J509" s="10">
        <v>46295</v>
      </c>
      <c r="L509" t="s">
        <v>308</v>
      </c>
    </row>
    <row r="510" spans="1:12" x14ac:dyDescent="0.25">
      <c r="A510" t="s">
        <v>250</v>
      </c>
      <c r="B510" t="s">
        <v>445</v>
      </c>
      <c r="C510" t="s">
        <v>445</v>
      </c>
      <c r="E510" s="4">
        <v>2999</v>
      </c>
      <c r="F510" t="s">
        <v>372</v>
      </c>
      <c r="G510" s="9">
        <v>1</v>
      </c>
      <c r="H510" s="4">
        <v>2999</v>
      </c>
      <c r="I510" t="s">
        <v>306</v>
      </c>
      <c r="J510" s="10">
        <v>46298</v>
      </c>
      <c r="L510" t="s">
        <v>308</v>
      </c>
    </row>
    <row r="511" spans="1:12" x14ac:dyDescent="0.25">
      <c r="A511" t="s">
        <v>250</v>
      </c>
      <c r="B511" t="s">
        <v>494</v>
      </c>
      <c r="C511" t="s">
        <v>494</v>
      </c>
      <c r="E511" s="4">
        <v>336</v>
      </c>
      <c r="F511" t="s">
        <v>372</v>
      </c>
      <c r="G511" s="9">
        <v>1</v>
      </c>
      <c r="H511" s="4">
        <v>336</v>
      </c>
      <c r="I511" t="s">
        <v>306</v>
      </c>
      <c r="J511" s="10">
        <v>46304</v>
      </c>
      <c r="L511" t="s">
        <v>308</v>
      </c>
    </row>
    <row r="512" spans="1:12" x14ac:dyDescent="0.25">
      <c r="A512" t="s">
        <v>254</v>
      </c>
      <c r="B512" t="s">
        <v>303</v>
      </c>
      <c r="C512" t="s">
        <v>495</v>
      </c>
      <c r="E512" s="4">
        <v>9625</v>
      </c>
      <c r="F512" t="s">
        <v>305</v>
      </c>
      <c r="G512" s="9">
        <v>5.5389</v>
      </c>
      <c r="H512" s="4">
        <v>53311.913</v>
      </c>
      <c r="I512" t="s">
        <v>306</v>
      </c>
      <c r="J512" s="10">
        <v>46243</v>
      </c>
      <c r="K512" t="s">
        <v>496</v>
      </c>
      <c r="L512" t="s">
        <v>308</v>
      </c>
    </row>
    <row r="513" spans="1:12" x14ac:dyDescent="0.25">
      <c r="A513" t="s">
        <v>254</v>
      </c>
      <c r="B513" t="s">
        <v>309</v>
      </c>
      <c r="C513" t="s">
        <v>310</v>
      </c>
      <c r="E513" s="4">
        <v>1020</v>
      </c>
      <c r="F513" t="s">
        <v>305</v>
      </c>
      <c r="G513" s="9">
        <v>5.5389</v>
      </c>
      <c r="H513" s="4">
        <v>5649.678</v>
      </c>
      <c r="I513" t="s">
        <v>306</v>
      </c>
      <c r="J513" s="10">
        <v>46243</v>
      </c>
      <c r="K513" t="s">
        <v>496</v>
      </c>
      <c r="L513" t="s">
        <v>308</v>
      </c>
    </row>
    <row r="514" spans="1:12" x14ac:dyDescent="0.25">
      <c r="A514" t="s">
        <v>254</v>
      </c>
      <c r="B514" t="s">
        <v>311</v>
      </c>
      <c r="C514" t="s">
        <v>312</v>
      </c>
      <c r="E514" s="4">
        <v>135</v>
      </c>
      <c r="F514" t="s">
        <v>305</v>
      </c>
      <c r="G514" s="9">
        <v>5.5389</v>
      </c>
      <c r="H514" s="4">
        <v>747.752</v>
      </c>
      <c r="I514" t="s">
        <v>306</v>
      </c>
      <c r="J514" s="10">
        <v>46243</v>
      </c>
      <c r="L514" t="s">
        <v>308</v>
      </c>
    </row>
    <row r="515" spans="1:12" x14ac:dyDescent="0.25">
      <c r="A515" t="s">
        <v>254</v>
      </c>
      <c r="B515" t="s">
        <v>313</v>
      </c>
      <c r="C515" t="s">
        <v>314</v>
      </c>
      <c r="E515" s="4">
        <v>200</v>
      </c>
      <c r="F515" t="s">
        <v>305</v>
      </c>
      <c r="G515" s="9">
        <v>5.5389</v>
      </c>
      <c r="H515" s="4">
        <v>1107.78</v>
      </c>
      <c r="I515" t="s">
        <v>306</v>
      </c>
      <c r="J515" s="10">
        <v>46243</v>
      </c>
      <c r="L515" t="s">
        <v>308</v>
      </c>
    </row>
    <row r="516" spans="1:12" x14ac:dyDescent="0.25">
      <c r="A516" t="s">
        <v>254</v>
      </c>
      <c r="B516" t="s">
        <v>328</v>
      </c>
      <c r="C516" t="s">
        <v>394</v>
      </c>
      <c r="D516" t="s">
        <v>330</v>
      </c>
      <c r="E516" s="4">
        <v>615</v>
      </c>
      <c r="F516" t="s">
        <v>305</v>
      </c>
      <c r="G516" s="9">
        <v>5.5366</v>
      </c>
      <c r="H516" s="4">
        <v>3405.009</v>
      </c>
      <c r="I516" t="s">
        <v>306</v>
      </c>
      <c r="J516" s="10">
        <v>46245</v>
      </c>
      <c r="L516" t="s">
        <v>308</v>
      </c>
    </row>
    <row r="517" spans="1:12" x14ac:dyDescent="0.25">
      <c r="A517" t="s">
        <v>254</v>
      </c>
      <c r="B517" t="s">
        <v>338</v>
      </c>
      <c r="C517" t="s">
        <v>339</v>
      </c>
      <c r="D517" t="s">
        <v>340</v>
      </c>
      <c r="E517" s="4">
        <v>75</v>
      </c>
      <c r="F517" t="s">
        <v>305</v>
      </c>
      <c r="G517" s="9">
        <v>5.5361</v>
      </c>
      <c r="H517" s="4">
        <v>415.208</v>
      </c>
      <c r="I517" t="s">
        <v>306</v>
      </c>
      <c r="J517" s="10">
        <v>46249</v>
      </c>
      <c r="L517" t="s">
        <v>308</v>
      </c>
    </row>
    <row r="518" spans="1:12" x14ac:dyDescent="0.25">
      <c r="A518" t="s">
        <v>254</v>
      </c>
      <c r="B518" t="s">
        <v>30</v>
      </c>
      <c r="C518" t="s">
        <v>488</v>
      </c>
      <c r="D518" t="s">
        <v>368</v>
      </c>
      <c r="E518" s="4">
        <v>1052</v>
      </c>
      <c r="F518" t="s">
        <v>305</v>
      </c>
      <c r="G518" s="9">
        <v>5.554</v>
      </c>
      <c r="H518" s="4">
        <v>5842.808</v>
      </c>
      <c r="I518" t="s">
        <v>306</v>
      </c>
      <c r="J518" s="10">
        <v>46255</v>
      </c>
      <c r="L518" t="s">
        <v>308</v>
      </c>
    </row>
    <row r="519" spans="1:12" x14ac:dyDescent="0.25">
      <c r="A519" t="s">
        <v>254</v>
      </c>
      <c r="B519" t="s">
        <v>353</v>
      </c>
      <c r="C519" t="s">
        <v>489</v>
      </c>
      <c r="D519" t="s">
        <v>340</v>
      </c>
      <c r="E519" s="4">
        <v>150</v>
      </c>
      <c r="F519" t="s">
        <v>305</v>
      </c>
      <c r="G519" s="9">
        <v>5.554</v>
      </c>
      <c r="H519" s="4">
        <v>833.1</v>
      </c>
      <c r="I519" t="s">
        <v>306</v>
      </c>
      <c r="J519" s="10">
        <v>46255</v>
      </c>
      <c r="L519" t="s">
        <v>308</v>
      </c>
    </row>
    <row r="520" spans="1:12" x14ac:dyDescent="0.25">
      <c r="A520" t="s">
        <v>254</v>
      </c>
      <c r="B520" t="s">
        <v>355</v>
      </c>
      <c r="C520" t="s">
        <v>356</v>
      </c>
      <c r="D520" t="s">
        <v>357</v>
      </c>
      <c r="E520" s="4">
        <v>144.375</v>
      </c>
      <c r="F520" t="s">
        <v>305</v>
      </c>
      <c r="G520" s="9">
        <v>5.554</v>
      </c>
      <c r="H520" s="4">
        <v>801.859</v>
      </c>
      <c r="I520" t="s">
        <v>306</v>
      </c>
      <c r="J520" s="10">
        <v>46255</v>
      </c>
      <c r="L520" t="s">
        <v>308</v>
      </c>
    </row>
    <row r="521" spans="1:12" x14ac:dyDescent="0.25">
      <c r="A521" t="s">
        <v>254</v>
      </c>
      <c r="B521" t="s">
        <v>398</v>
      </c>
      <c r="C521" t="s">
        <v>399</v>
      </c>
      <c r="D521" t="s">
        <v>400</v>
      </c>
      <c r="E521" s="4">
        <v>758</v>
      </c>
      <c r="F521" t="s">
        <v>372</v>
      </c>
      <c r="G521" s="9">
        <v>1</v>
      </c>
      <c r="H521" s="4">
        <v>758</v>
      </c>
      <c r="I521" t="s">
        <v>306</v>
      </c>
      <c r="J521" s="10">
        <v>46288</v>
      </c>
      <c r="L521" t="s">
        <v>308</v>
      </c>
    </row>
    <row r="522" spans="1:12" x14ac:dyDescent="0.25">
      <c r="A522" t="s">
        <v>254</v>
      </c>
      <c r="B522" t="s">
        <v>370</v>
      </c>
      <c r="C522" t="s">
        <v>423</v>
      </c>
      <c r="E522" s="4">
        <v>12128</v>
      </c>
      <c r="F522" t="s">
        <v>372</v>
      </c>
      <c r="G522" s="9">
        <v>1</v>
      </c>
      <c r="H522" s="4">
        <v>12128</v>
      </c>
      <c r="I522" t="s">
        <v>306</v>
      </c>
      <c r="J522" s="10">
        <v>46292</v>
      </c>
      <c r="K522" t="s">
        <v>497</v>
      </c>
      <c r="L522" t="s">
        <v>308</v>
      </c>
    </row>
    <row r="523" spans="1:12" x14ac:dyDescent="0.25">
      <c r="A523" t="s">
        <v>254</v>
      </c>
      <c r="B523" t="s">
        <v>425</v>
      </c>
      <c r="C523" t="s">
        <v>426</v>
      </c>
      <c r="D523" t="s">
        <v>427</v>
      </c>
      <c r="E523" s="4">
        <v>521</v>
      </c>
      <c r="F523" t="s">
        <v>372</v>
      </c>
      <c r="G523" s="9">
        <v>1</v>
      </c>
      <c r="H523" s="4">
        <v>521</v>
      </c>
      <c r="I523" t="s">
        <v>306</v>
      </c>
      <c r="J523" s="10">
        <v>46293</v>
      </c>
      <c r="L523" t="s">
        <v>308</v>
      </c>
    </row>
    <row r="524" spans="1:12" x14ac:dyDescent="0.25">
      <c r="A524" t="s">
        <v>254</v>
      </c>
      <c r="B524" t="s">
        <v>434</v>
      </c>
      <c r="C524" t="s">
        <v>435</v>
      </c>
      <c r="D524" t="s">
        <v>436</v>
      </c>
      <c r="E524" s="4">
        <v>499</v>
      </c>
      <c r="F524" t="s">
        <v>372</v>
      </c>
      <c r="G524" s="9">
        <v>1</v>
      </c>
      <c r="H524" s="4">
        <v>499</v>
      </c>
      <c r="I524" t="s">
        <v>306</v>
      </c>
      <c r="J524" s="10">
        <v>46294</v>
      </c>
      <c r="L524" t="s">
        <v>308</v>
      </c>
    </row>
    <row r="525" spans="1:12" x14ac:dyDescent="0.25">
      <c r="A525" t="s">
        <v>254</v>
      </c>
      <c r="B525" t="s">
        <v>449</v>
      </c>
      <c r="C525" t="s">
        <v>450</v>
      </c>
      <c r="D525" t="s">
        <v>451</v>
      </c>
      <c r="E525" s="4">
        <v>4597</v>
      </c>
      <c r="F525" t="s">
        <v>372</v>
      </c>
      <c r="G525" s="9">
        <v>1</v>
      </c>
      <c r="H525" s="4">
        <v>4597</v>
      </c>
      <c r="I525" t="s">
        <v>306</v>
      </c>
      <c r="J525" s="10">
        <v>46297</v>
      </c>
      <c r="L525" t="s">
        <v>308</v>
      </c>
    </row>
    <row r="526" spans="1:12" x14ac:dyDescent="0.25">
      <c r="A526" t="s">
        <v>254</v>
      </c>
      <c r="B526" t="s">
        <v>494</v>
      </c>
      <c r="C526" t="s">
        <v>494</v>
      </c>
      <c r="E526" s="4">
        <v>276</v>
      </c>
      <c r="F526" t="s">
        <v>372</v>
      </c>
      <c r="G526" s="9">
        <v>1</v>
      </c>
      <c r="H526" s="4">
        <v>276</v>
      </c>
      <c r="I526" t="s">
        <v>306</v>
      </c>
      <c r="J526" s="10">
        <v>46304</v>
      </c>
      <c r="L526" t="s">
        <v>308</v>
      </c>
    </row>
    <row r="527" spans="1:12" x14ac:dyDescent="0.25">
      <c r="A527" t="s">
        <v>258</v>
      </c>
      <c r="B527" t="s">
        <v>303</v>
      </c>
      <c r="C527" t="s">
        <v>498</v>
      </c>
      <c r="E527" s="4">
        <v>25900</v>
      </c>
      <c r="F527" t="s">
        <v>305</v>
      </c>
      <c r="G527" s="9">
        <v>5.5366</v>
      </c>
      <c r="H527" s="4">
        <v>143397.94</v>
      </c>
      <c r="I527" t="s">
        <v>306</v>
      </c>
      <c r="J527" s="10">
        <v>46245</v>
      </c>
      <c r="K527" t="s">
        <v>499</v>
      </c>
      <c r="L527" t="s">
        <v>308</v>
      </c>
    </row>
    <row r="528" spans="1:12" x14ac:dyDescent="0.25">
      <c r="A528" t="s">
        <v>258</v>
      </c>
      <c r="B528" t="s">
        <v>309</v>
      </c>
      <c r="C528" t="s">
        <v>310</v>
      </c>
      <c r="E528" s="4">
        <v>2322</v>
      </c>
      <c r="F528" t="s">
        <v>305</v>
      </c>
      <c r="G528" s="9">
        <v>5.5366</v>
      </c>
      <c r="H528" s="4">
        <v>12855.985</v>
      </c>
      <c r="I528" t="s">
        <v>306</v>
      </c>
      <c r="J528" s="10">
        <v>46245</v>
      </c>
      <c r="K528" t="s">
        <v>499</v>
      </c>
      <c r="L528" t="s">
        <v>308</v>
      </c>
    </row>
    <row r="529" spans="1:12" x14ac:dyDescent="0.25">
      <c r="A529" t="s">
        <v>258</v>
      </c>
      <c r="B529" t="s">
        <v>311</v>
      </c>
      <c r="C529" t="s">
        <v>312</v>
      </c>
      <c r="E529" s="4">
        <v>159</v>
      </c>
      <c r="F529" t="s">
        <v>305</v>
      </c>
      <c r="G529" s="9">
        <v>5.5366</v>
      </c>
      <c r="H529" s="4">
        <v>880.319</v>
      </c>
      <c r="I529" t="s">
        <v>306</v>
      </c>
      <c r="J529" s="10">
        <v>46245</v>
      </c>
      <c r="L529" t="s">
        <v>308</v>
      </c>
    </row>
    <row r="530" spans="1:12" x14ac:dyDescent="0.25">
      <c r="A530" t="s">
        <v>258</v>
      </c>
      <c r="B530" t="s">
        <v>313</v>
      </c>
      <c r="C530" t="s">
        <v>314</v>
      </c>
      <c r="E530" s="4">
        <v>200</v>
      </c>
      <c r="F530" t="s">
        <v>305</v>
      </c>
      <c r="G530" s="9">
        <v>5.5366</v>
      </c>
      <c r="H530" s="4">
        <v>1107.32</v>
      </c>
      <c r="I530" t="s">
        <v>306</v>
      </c>
      <c r="J530" s="10">
        <v>46245</v>
      </c>
      <c r="L530" t="s">
        <v>308</v>
      </c>
    </row>
    <row r="531" spans="1:12" x14ac:dyDescent="0.25">
      <c r="A531" t="s">
        <v>258</v>
      </c>
      <c r="B531" t="s">
        <v>328</v>
      </c>
      <c r="C531" t="s">
        <v>382</v>
      </c>
      <c r="D531" t="s">
        <v>330</v>
      </c>
      <c r="E531" s="4">
        <v>314</v>
      </c>
      <c r="F531" t="s">
        <v>305</v>
      </c>
      <c r="G531" s="9">
        <v>5.5442</v>
      </c>
      <c r="H531" s="4">
        <v>1740.879</v>
      </c>
      <c r="I531" t="s">
        <v>306</v>
      </c>
      <c r="J531" s="10">
        <v>46247</v>
      </c>
      <c r="L531" t="s">
        <v>308</v>
      </c>
    </row>
    <row r="532" spans="1:12" x14ac:dyDescent="0.25">
      <c r="A532" t="s">
        <v>258</v>
      </c>
      <c r="B532" t="s">
        <v>338</v>
      </c>
      <c r="C532" t="s">
        <v>339</v>
      </c>
      <c r="D532" t="s">
        <v>340</v>
      </c>
      <c r="E532" s="4">
        <v>75</v>
      </c>
      <c r="F532" t="s">
        <v>305</v>
      </c>
      <c r="G532" s="9">
        <v>5.5378</v>
      </c>
      <c r="H532" s="4">
        <v>415.335</v>
      </c>
      <c r="I532" t="s">
        <v>306</v>
      </c>
      <c r="J532" s="10">
        <v>46251</v>
      </c>
      <c r="L532" t="s">
        <v>308</v>
      </c>
    </row>
    <row r="533" spans="1:12" x14ac:dyDescent="0.25">
      <c r="A533" t="s">
        <v>258</v>
      </c>
      <c r="B533" t="s">
        <v>30</v>
      </c>
      <c r="C533" t="s">
        <v>488</v>
      </c>
      <c r="D533" t="s">
        <v>368</v>
      </c>
      <c r="E533" s="4">
        <v>1052</v>
      </c>
      <c r="F533" t="s">
        <v>305</v>
      </c>
      <c r="G533" s="9">
        <v>5.554</v>
      </c>
      <c r="H533" s="4">
        <v>5842.808</v>
      </c>
      <c r="I533" t="s">
        <v>306</v>
      </c>
      <c r="J533" s="10">
        <v>46255</v>
      </c>
      <c r="L533" t="s">
        <v>308</v>
      </c>
    </row>
    <row r="534" spans="1:12" x14ac:dyDescent="0.25">
      <c r="A534" t="s">
        <v>258</v>
      </c>
      <c r="B534" t="s">
        <v>353</v>
      </c>
      <c r="C534" t="s">
        <v>489</v>
      </c>
      <c r="D534" t="s">
        <v>340</v>
      </c>
      <c r="E534" s="4">
        <v>150</v>
      </c>
      <c r="F534" t="s">
        <v>305</v>
      </c>
      <c r="G534" s="9">
        <v>5.554</v>
      </c>
      <c r="H534" s="4">
        <v>833.1</v>
      </c>
      <c r="I534" t="s">
        <v>306</v>
      </c>
      <c r="J534" s="10">
        <v>46255</v>
      </c>
      <c r="L534" t="s">
        <v>308</v>
      </c>
    </row>
    <row r="535" spans="1:12" x14ac:dyDescent="0.25">
      <c r="A535" t="s">
        <v>258</v>
      </c>
      <c r="B535" t="s">
        <v>355</v>
      </c>
      <c r="C535" t="s">
        <v>356</v>
      </c>
      <c r="D535" t="s">
        <v>357</v>
      </c>
      <c r="E535" s="4">
        <v>388.5</v>
      </c>
      <c r="F535" t="s">
        <v>305</v>
      </c>
      <c r="G535" s="9">
        <v>5.554</v>
      </c>
      <c r="H535" s="4">
        <v>2157.729</v>
      </c>
      <c r="I535" t="s">
        <v>306</v>
      </c>
      <c r="J535" s="10">
        <v>46255</v>
      </c>
      <c r="L535" t="s">
        <v>308</v>
      </c>
    </row>
    <row r="536" spans="1:12" x14ac:dyDescent="0.25">
      <c r="A536" t="s">
        <v>258</v>
      </c>
      <c r="B536" t="s">
        <v>398</v>
      </c>
      <c r="C536" t="s">
        <v>399</v>
      </c>
      <c r="D536" t="s">
        <v>400</v>
      </c>
      <c r="E536" s="4">
        <v>849</v>
      </c>
      <c r="F536" t="s">
        <v>372</v>
      </c>
      <c r="G536" s="9">
        <v>1</v>
      </c>
      <c r="H536" s="4">
        <v>849</v>
      </c>
      <c r="I536" t="s">
        <v>306</v>
      </c>
      <c r="J536" s="10">
        <v>46290</v>
      </c>
      <c r="L536" t="s">
        <v>308</v>
      </c>
    </row>
    <row r="537" spans="1:12" x14ac:dyDescent="0.25">
      <c r="A537" t="s">
        <v>258</v>
      </c>
      <c r="B537" t="s">
        <v>370</v>
      </c>
      <c r="C537" t="s">
        <v>423</v>
      </c>
      <c r="E537" s="4">
        <v>32634</v>
      </c>
      <c r="F537" t="s">
        <v>372</v>
      </c>
      <c r="G537" s="9">
        <v>1</v>
      </c>
      <c r="H537" s="4">
        <v>32634</v>
      </c>
      <c r="I537" t="s">
        <v>306</v>
      </c>
      <c r="J537" s="10">
        <v>46294</v>
      </c>
      <c r="K537" t="s">
        <v>500</v>
      </c>
      <c r="L537" t="s">
        <v>308</v>
      </c>
    </row>
    <row r="538" spans="1:12" x14ac:dyDescent="0.25">
      <c r="A538" t="s">
        <v>258</v>
      </c>
      <c r="B538" t="s">
        <v>425</v>
      </c>
      <c r="C538" t="s">
        <v>426</v>
      </c>
      <c r="D538" t="s">
        <v>427</v>
      </c>
      <c r="E538" s="4">
        <v>513</v>
      </c>
      <c r="F538" t="s">
        <v>372</v>
      </c>
      <c r="G538" s="9">
        <v>1</v>
      </c>
      <c r="H538" s="4">
        <v>513</v>
      </c>
      <c r="I538" t="s">
        <v>306</v>
      </c>
      <c r="J538" s="10">
        <v>46295</v>
      </c>
      <c r="L538" t="s">
        <v>308</v>
      </c>
    </row>
    <row r="539" spans="1:12" x14ac:dyDescent="0.25">
      <c r="A539" t="s">
        <v>258</v>
      </c>
      <c r="B539" t="s">
        <v>434</v>
      </c>
      <c r="C539" t="s">
        <v>435</v>
      </c>
      <c r="D539" t="s">
        <v>436</v>
      </c>
      <c r="E539" s="4">
        <v>624</v>
      </c>
      <c r="F539" t="s">
        <v>372</v>
      </c>
      <c r="G539" s="9">
        <v>1</v>
      </c>
      <c r="H539" s="4">
        <v>624</v>
      </c>
      <c r="I539" t="s">
        <v>306</v>
      </c>
      <c r="J539" s="10">
        <v>46296</v>
      </c>
      <c r="L539" t="s">
        <v>308</v>
      </c>
    </row>
    <row r="540" spans="1:12" x14ac:dyDescent="0.25">
      <c r="A540" t="s">
        <v>258</v>
      </c>
      <c r="B540" t="s">
        <v>449</v>
      </c>
      <c r="C540" t="s">
        <v>450</v>
      </c>
      <c r="D540" t="s">
        <v>451</v>
      </c>
      <c r="E540" s="4">
        <v>8033</v>
      </c>
      <c r="F540" t="s">
        <v>372</v>
      </c>
      <c r="G540" s="9">
        <v>1</v>
      </c>
      <c r="H540" s="4">
        <v>8033</v>
      </c>
      <c r="I540" t="s">
        <v>306</v>
      </c>
      <c r="J540" s="10">
        <v>46299</v>
      </c>
      <c r="L540" t="s">
        <v>308</v>
      </c>
    </row>
    <row r="541" spans="1:12" x14ac:dyDescent="0.25">
      <c r="A541" t="s">
        <v>258</v>
      </c>
      <c r="B541" t="s">
        <v>494</v>
      </c>
      <c r="C541" t="s">
        <v>494</v>
      </c>
      <c r="E541" s="4">
        <v>305</v>
      </c>
      <c r="F541" t="s">
        <v>372</v>
      </c>
      <c r="G541" s="9">
        <v>1</v>
      </c>
      <c r="H541" s="4">
        <v>305</v>
      </c>
      <c r="I541" t="s">
        <v>306</v>
      </c>
      <c r="J541" s="10">
        <v>46304</v>
      </c>
      <c r="L541" t="s">
        <v>308</v>
      </c>
    </row>
    <row r="542" spans="1:12" x14ac:dyDescent="0.25">
      <c r="A542" t="s">
        <v>262</v>
      </c>
      <c r="B542" t="s">
        <v>303</v>
      </c>
      <c r="C542" t="s">
        <v>501</v>
      </c>
      <c r="E542" s="4">
        <v>9125</v>
      </c>
      <c r="F542" t="s">
        <v>305</v>
      </c>
      <c r="G542" s="9">
        <v>5.5469</v>
      </c>
      <c r="H542" s="4">
        <v>50615.463</v>
      </c>
      <c r="I542" t="s">
        <v>306</v>
      </c>
      <c r="J542" s="10">
        <v>46242</v>
      </c>
      <c r="K542" t="s">
        <v>502</v>
      </c>
      <c r="L542" t="s">
        <v>308</v>
      </c>
    </row>
    <row r="543" spans="1:12" x14ac:dyDescent="0.25">
      <c r="A543" t="s">
        <v>262</v>
      </c>
      <c r="B543" t="s">
        <v>309</v>
      </c>
      <c r="C543" t="s">
        <v>310</v>
      </c>
      <c r="E543" s="4">
        <v>980</v>
      </c>
      <c r="F543" t="s">
        <v>305</v>
      </c>
      <c r="G543" s="9">
        <v>5.5469</v>
      </c>
      <c r="H543" s="4">
        <v>5435.962</v>
      </c>
      <c r="I543" t="s">
        <v>306</v>
      </c>
      <c r="J543" s="10">
        <v>46242</v>
      </c>
      <c r="K543" t="s">
        <v>502</v>
      </c>
      <c r="L543" t="s">
        <v>308</v>
      </c>
    </row>
    <row r="544" spans="1:12" x14ac:dyDescent="0.25">
      <c r="A544" t="s">
        <v>262</v>
      </c>
      <c r="B544" t="s">
        <v>311</v>
      </c>
      <c r="C544" t="s">
        <v>312</v>
      </c>
      <c r="E544" s="4">
        <v>159</v>
      </c>
      <c r="F544" t="s">
        <v>305</v>
      </c>
      <c r="G544" s="9">
        <v>5.5469</v>
      </c>
      <c r="H544" s="4">
        <v>881.957</v>
      </c>
      <c r="I544" t="s">
        <v>306</v>
      </c>
      <c r="J544" s="10">
        <v>46242</v>
      </c>
      <c r="L544" t="s">
        <v>308</v>
      </c>
    </row>
    <row r="545" spans="1:12" x14ac:dyDescent="0.25">
      <c r="A545" t="s">
        <v>262</v>
      </c>
      <c r="B545" t="s">
        <v>313</v>
      </c>
      <c r="C545" t="s">
        <v>314</v>
      </c>
      <c r="E545" s="4">
        <v>200</v>
      </c>
      <c r="F545" t="s">
        <v>305</v>
      </c>
      <c r="G545" s="9">
        <v>5.5469</v>
      </c>
      <c r="H545" s="4">
        <v>1109.38</v>
      </c>
      <c r="I545" t="s">
        <v>306</v>
      </c>
      <c r="J545" s="10">
        <v>46242</v>
      </c>
      <c r="L545" t="s">
        <v>308</v>
      </c>
    </row>
    <row r="546" spans="1:12" x14ac:dyDescent="0.25">
      <c r="A546" t="s">
        <v>262</v>
      </c>
      <c r="B546" t="s">
        <v>328</v>
      </c>
      <c r="C546" t="s">
        <v>343</v>
      </c>
      <c r="D546" t="s">
        <v>330</v>
      </c>
      <c r="E546" s="4">
        <v>575</v>
      </c>
      <c r="F546" t="s">
        <v>305</v>
      </c>
      <c r="G546" s="9">
        <v>5.5318</v>
      </c>
      <c r="H546" s="4">
        <v>3180.785</v>
      </c>
      <c r="I546" t="s">
        <v>306</v>
      </c>
      <c r="J546" s="10">
        <v>46244</v>
      </c>
      <c r="L546" t="s">
        <v>308</v>
      </c>
    </row>
    <row r="547" spans="1:12" x14ac:dyDescent="0.25">
      <c r="A547" t="s">
        <v>262</v>
      </c>
      <c r="B547" t="s">
        <v>338</v>
      </c>
      <c r="C547" t="s">
        <v>339</v>
      </c>
      <c r="D547" t="s">
        <v>340</v>
      </c>
      <c r="E547" s="4">
        <v>75</v>
      </c>
      <c r="F547" t="s">
        <v>305</v>
      </c>
      <c r="G547" s="9">
        <v>5.5389</v>
      </c>
      <c r="H547" s="4">
        <v>415.418</v>
      </c>
      <c r="I547" t="s">
        <v>306</v>
      </c>
      <c r="J547" s="10">
        <v>46248</v>
      </c>
      <c r="L547" t="s">
        <v>308</v>
      </c>
    </row>
    <row r="548" spans="1:12" x14ac:dyDescent="0.25">
      <c r="A548" t="s">
        <v>262</v>
      </c>
      <c r="B548" t="s">
        <v>30</v>
      </c>
      <c r="C548" t="s">
        <v>503</v>
      </c>
      <c r="D548" t="s">
        <v>396</v>
      </c>
      <c r="E548" s="4">
        <v>1064</v>
      </c>
      <c r="F548" t="s">
        <v>305</v>
      </c>
      <c r="G548" s="9">
        <v>5.5389</v>
      </c>
      <c r="H548" s="4">
        <v>5893.39</v>
      </c>
      <c r="I548" t="s">
        <v>306</v>
      </c>
      <c r="J548" s="10">
        <v>46248</v>
      </c>
      <c r="L548" t="s">
        <v>308</v>
      </c>
    </row>
    <row r="549" spans="1:12" x14ac:dyDescent="0.25">
      <c r="A549" t="s">
        <v>262</v>
      </c>
      <c r="B549" t="s">
        <v>353</v>
      </c>
      <c r="C549" t="s">
        <v>504</v>
      </c>
      <c r="D549" t="s">
        <v>340</v>
      </c>
      <c r="E549" s="4">
        <v>150</v>
      </c>
      <c r="F549" t="s">
        <v>305</v>
      </c>
      <c r="G549" s="9">
        <v>5.5389</v>
      </c>
      <c r="H549" s="4">
        <v>830.835</v>
      </c>
      <c r="I549" t="s">
        <v>306</v>
      </c>
      <c r="J549" s="10">
        <v>46248</v>
      </c>
      <c r="L549" t="s">
        <v>308</v>
      </c>
    </row>
    <row r="550" spans="1:12" x14ac:dyDescent="0.25">
      <c r="A550" t="s">
        <v>262</v>
      </c>
      <c r="B550" t="s">
        <v>355</v>
      </c>
      <c r="C550" t="s">
        <v>356</v>
      </c>
      <c r="D550" t="s">
        <v>357</v>
      </c>
      <c r="E550" s="4">
        <v>136.875</v>
      </c>
      <c r="F550" t="s">
        <v>305</v>
      </c>
      <c r="G550" s="9">
        <v>5.5389</v>
      </c>
      <c r="H550" s="4">
        <v>758.137</v>
      </c>
      <c r="I550" t="s">
        <v>306</v>
      </c>
      <c r="J550" s="10">
        <v>46248</v>
      </c>
      <c r="L550" t="s">
        <v>308</v>
      </c>
    </row>
    <row r="551" spans="1:12" x14ac:dyDescent="0.25">
      <c r="A551" t="s">
        <v>262</v>
      </c>
      <c r="B551" t="s">
        <v>398</v>
      </c>
      <c r="C551" t="s">
        <v>399</v>
      </c>
      <c r="D551" t="s">
        <v>400</v>
      </c>
      <c r="E551" s="4">
        <v>813</v>
      </c>
      <c r="F551" t="s">
        <v>372</v>
      </c>
      <c r="G551" s="9">
        <v>1</v>
      </c>
      <c r="H551" s="4">
        <v>813</v>
      </c>
      <c r="I551" t="s">
        <v>306</v>
      </c>
      <c r="J551" s="10">
        <v>46287</v>
      </c>
      <c r="L551" t="s">
        <v>308</v>
      </c>
    </row>
    <row r="552" spans="1:12" x14ac:dyDescent="0.25">
      <c r="A552" t="s">
        <v>262</v>
      </c>
      <c r="B552" t="s">
        <v>421</v>
      </c>
      <c r="C552" t="s">
        <v>422</v>
      </c>
      <c r="D552" t="s">
        <v>400</v>
      </c>
      <c r="E552" s="4">
        <v>450</v>
      </c>
      <c r="F552" t="s">
        <v>372</v>
      </c>
      <c r="G552" s="9">
        <v>1</v>
      </c>
      <c r="H552" s="4">
        <v>450</v>
      </c>
      <c r="I552" t="s">
        <v>306</v>
      </c>
      <c r="J552" s="10">
        <v>46292</v>
      </c>
      <c r="L552" t="s">
        <v>308</v>
      </c>
    </row>
    <row r="553" spans="1:12" x14ac:dyDescent="0.25">
      <c r="A553" t="s">
        <v>262</v>
      </c>
      <c r="B553" t="s">
        <v>370</v>
      </c>
      <c r="C553" t="s">
        <v>423</v>
      </c>
      <c r="E553" s="4">
        <v>11498</v>
      </c>
      <c r="F553" t="s">
        <v>372</v>
      </c>
      <c r="G553" s="9">
        <v>1</v>
      </c>
      <c r="H553" s="4">
        <v>11498</v>
      </c>
      <c r="I553" t="s">
        <v>306</v>
      </c>
      <c r="J553" s="10">
        <v>46291</v>
      </c>
      <c r="K553" t="s">
        <v>505</v>
      </c>
      <c r="L553" t="s">
        <v>308</v>
      </c>
    </row>
    <row r="554" spans="1:12" x14ac:dyDescent="0.25">
      <c r="A554" t="s">
        <v>262</v>
      </c>
      <c r="B554" t="s">
        <v>425</v>
      </c>
      <c r="C554" t="s">
        <v>426</v>
      </c>
      <c r="D554" t="s">
        <v>427</v>
      </c>
      <c r="E554" s="4">
        <v>446</v>
      </c>
      <c r="F554" t="s">
        <v>372</v>
      </c>
      <c r="G554" s="9">
        <v>1</v>
      </c>
      <c r="H554" s="4">
        <v>446</v>
      </c>
      <c r="I554" t="s">
        <v>306</v>
      </c>
      <c r="J554" s="10">
        <v>46292</v>
      </c>
      <c r="L554" t="s">
        <v>308</v>
      </c>
    </row>
    <row r="555" spans="1:12" x14ac:dyDescent="0.25">
      <c r="A555" t="s">
        <v>262</v>
      </c>
      <c r="B555" t="s">
        <v>434</v>
      </c>
      <c r="C555" t="s">
        <v>435</v>
      </c>
      <c r="D555" t="s">
        <v>436</v>
      </c>
      <c r="E555" s="4">
        <v>519</v>
      </c>
      <c r="F555" t="s">
        <v>372</v>
      </c>
      <c r="G555" s="9">
        <v>1</v>
      </c>
      <c r="H555" s="4">
        <v>519</v>
      </c>
      <c r="I555" t="s">
        <v>306</v>
      </c>
      <c r="J555" s="10">
        <v>46293</v>
      </c>
      <c r="L555" t="s">
        <v>308</v>
      </c>
    </row>
    <row r="556" spans="1:12" x14ac:dyDescent="0.25">
      <c r="A556" t="s">
        <v>262</v>
      </c>
      <c r="B556" t="s">
        <v>449</v>
      </c>
      <c r="C556" t="s">
        <v>450</v>
      </c>
      <c r="D556" t="s">
        <v>451</v>
      </c>
      <c r="E556" s="4">
        <v>5308</v>
      </c>
      <c r="F556" t="s">
        <v>372</v>
      </c>
      <c r="G556" s="9">
        <v>1</v>
      </c>
      <c r="H556" s="4">
        <v>5308</v>
      </c>
      <c r="I556" t="s">
        <v>306</v>
      </c>
      <c r="J556" s="10">
        <v>46296</v>
      </c>
      <c r="L556" t="s">
        <v>308</v>
      </c>
    </row>
    <row r="557" spans="1:12" x14ac:dyDescent="0.25">
      <c r="A557" t="s">
        <v>262</v>
      </c>
      <c r="B557" t="s">
        <v>494</v>
      </c>
      <c r="C557" t="s">
        <v>494</v>
      </c>
      <c r="E557" s="4">
        <v>376</v>
      </c>
      <c r="F557" t="s">
        <v>372</v>
      </c>
      <c r="G557" s="9">
        <v>1</v>
      </c>
      <c r="H557" s="4">
        <v>376</v>
      </c>
      <c r="I557" t="s">
        <v>306</v>
      </c>
      <c r="J557" s="10">
        <v>46304</v>
      </c>
      <c r="L557" t="s">
        <v>308</v>
      </c>
    </row>
    <row r="558" spans="1:12" x14ac:dyDescent="0.25">
      <c r="A558" t="s">
        <v>267</v>
      </c>
      <c r="B558" t="s">
        <v>303</v>
      </c>
      <c r="C558" t="s">
        <v>506</v>
      </c>
      <c r="E558" s="4">
        <v>13900</v>
      </c>
      <c r="F558" t="s">
        <v>305</v>
      </c>
      <c r="G558" s="9">
        <v>5.5373</v>
      </c>
      <c r="H558" s="4">
        <v>76968.47</v>
      </c>
      <c r="I558" t="s">
        <v>306</v>
      </c>
      <c r="J558" s="10">
        <v>46240</v>
      </c>
      <c r="K558" t="s">
        <v>507</v>
      </c>
      <c r="L558" t="s">
        <v>308</v>
      </c>
    </row>
    <row r="559" spans="1:12" x14ac:dyDescent="0.25">
      <c r="A559" t="s">
        <v>267</v>
      </c>
      <c r="B559" t="s">
        <v>309</v>
      </c>
      <c r="C559" t="s">
        <v>310</v>
      </c>
      <c r="E559" s="4">
        <v>1362</v>
      </c>
      <c r="F559" t="s">
        <v>305</v>
      </c>
      <c r="G559" s="9">
        <v>5.5373</v>
      </c>
      <c r="H559" s="4">
        <v>7541.803</v>
      </c>
      <c r="I559" t="s">
        <v>306</v>
      </c>
      <c r="J559" s="10">
        <v>46240</v>
      </c>
      <c r="K559" t="s">
        <v>507</v>
      </c>
      <c r="L559" t="s">
        <v>308</v>
      </c>
    </row>
    <row r="560" spans="1:12" x14ac:dyDescent="0.25">
      <c r="A560" t="s">
        <v>267</v>
      </c>
      <c r="B560" t="s">
        <v>311</v>
      </c>
      <c r="C560" t="s">
        <v>312</v>
      </c>
      <c r="E560" s="4">
        <v>135</v>
      </c>
      <c r="F560" t="s">
        <v>305</v>
      </c>
      <c r="G560" s="9">
        <v>5.5373</v>
      </c>
      <c r="H560" s="4">
        <v>747.536</v>
      </c>
      <c r="I560" t="s">
        <v>306</v>
      </c>
      <c r="J560" s="10">
        <v>46240</v>
      </c>
      <c r="L560" t="s">
        <v>308</v>
      </c>
    </row>
    <row r="561" spans="1:12" x14ac:dyDescent="0.25">
      <c r="A561" t="s">
        <v>267</v>
      </c>
      <c r="B561" t="s">
        <v>313</v>
      </c>
      <c r="C561" t="s">
        <v>314</v>
      </c>
      <c r="E561" s="4">
        <v>200</v>
      </c>
      <c r="F561" t="s">
        <v>305</v>
      </c>
      <c r="G561" s="9">
        <v>5.5373</v>
      </c>
      <c r="H561" s="4">
        <v>1107.46</v>
      </c>
      <c r="I561" t="s">
        <v>306</v>
      </c>
      <c r="J561" s="10">
        <v>46240</v>
      </c>
      <c r="L561" t="s">
        <v>308</v>
      </c>
    </row>
    <row r="562" spans="1:12" x14ac:dyDescent="0.25">
      <c r="A562" t="s">
        <v>267</v>
      </c>
      <c r="B562" t="s">
        <v>328</v>
      </c>
      <c r="C562" t="s">
        <v>394</v>
      </c>
      <c r="D562" t="s">
        <v>330</v>
      </c>
      <c r="E562" s="4">
        <v>448</v>
      </c>
      <c r="F562" t="s">
        <v>305</v>
      </c>
      <c r="G562" s="9">
        <v>5.5469</v>
      </c>
      <c r="H562" s="4">
        <v>2485.011</v>
      </c>
      <c r="I562" t="s">
        <v>306</v>
      </c>
      <c r="J562" s="10">
        <v>46242</v>
      </c>
      <c r="L562" t="s">
        <v>308</v>
      </c>
    </row>
    <row r="563" spans="1:12" x14ac:dyDescent="0.25">
      <c r="A563" t="s">
        <v>267</v>
      </c>
      <c r="B563" t="s">
        <v>338</v>
      </c>
      <c r="C563" t="s">
        <v>339</v>
      </c>
      <c r="D563" t="s">
        <v>340</v>
      </c>
      <c r="E563" s="4">
        <v>75</v>
      </c>
      <c r="F563" t="s">
        <v>305</v>
      </c>
      <c r="G563" s="9">
        <v>5.5443</v>
      </c>
      <c r="H563" s="4">
        <v>415.823</v>
      </c>
      <c r="I563" t="s">
        <v>306</v>
      </c>
      <c r="J563" s="10">
        <v>46246</v>
      </c>
      <c r="L563" t="s">
        <v>308</v>
      </c>
    </row>
    <row r="564" spans="1:12" x14ac:dyDescent="0.25">
      <c r="A564" t="s">
        <v>267</v>
      </c>
      <c r="B564" t="s">
        <v>30</v>
      </c>
      <c r="C564" t="s">
        <v>503</v>
      </c>
      <c r="D564" t="s">
        <v>396</v>
      </c>
      <c r="E564" s="4">
        <v>1064</v>
      </c>
      <c r="F564" t="s">
        <v>305</v>
      </c>
      <c r="G564" s="9">
        <v>5.5389</v>
      </c>
      <c r="H564" s="4">
        <v>5893.39</v>
      </c>
      <c r="I564" t="s">
        <v>306</v>
      </c>
      <c r="J564" s="10">
        <v>46248</v>
      </c>
      <c r="L564" t="s">
        <v>308</v>
      </c>
    </row>
    <row r="565" spans="1:12" x14ac:dyDescent="0.25">
      <c r="A565" t="s">
        <v>267</v>
      </c>
      <c r="B565" t="s">
        <v>353</v>
      </c>
      <c r="C565" t="s">
        <v>504</v>
      </c>
      <c r="D565" t="s">
        <v>340</v>
      </c>
      <c r="E565" s="4">
        <v>150</v>
      </c>
      <c r="F565" t="s">
        <v>305</v>
      </c>
      <c r="G565" s="9">
        <v>5.5389</v>
      </c>
      <c r="H565" s="4">
        <v>830.835</v>
      </c>
      <c r="I565" t="s">
        <v>306</v>
      </c>
      <c r="J565" s="10">
        <v>46248</v>
      </c>
      <c r="L565" t="s">
        <v>308</v>
      </c>
    </row>
    <row r="566" spans="1:12" x14ac:dyDescent="0.25">
      <c r="A566" t="s">
        <v>267</v>
      </c>
      <c r="B566" t="s">
        <v>355</v>
      </c>
      <c r="C566" t="s">
        <v>356</v>
      </c>
      <c r="D566" t="s">
        <v>357</v>
      </c>
      <c r="E566" s="4">
        <v>208.5</v>
      </c>
      <c r="F566" t="s">
        <v>305</v>
      </c>
      <c r="G566" s="9">
        <v>5.5389</v>
      </c>
      <c r="H566" s="4">
        <v>1154.861</v>
      </c>
      <c r="I566" t="s">
        <v>306</v>
      </c>
      <c r="J566" s="10">
        <v>46248</v>
      </c>
      <c r="L566" t="s">
        <v>308</v>
      </c>
    </row>
    <row r="567" spans="1:12" x14ac:dyDescent="0.25">
      <c r="A567" t="s">
        <v>267</v>
      </c>
      <c r="B567" t="s">
        <v>398</v>
      </c>
      <c r="C567" t="s">
        <v>399</v>
      </c>
      <c r="D567" t="s">
        <v>400</v>
      </c>
      <c r="E567" s="4">
        <v>626</v>
      </c>
      <c r="F567" t="s">
        <v>372</v>
      </c>
      <c r="G567" s="9">
        <v>1</v>
      </c>
      <c r="H567" s="4">
        <v>626</v>
      </c>
      <c r="I567" t="s">
        <v>306</v>
      </c>
      <c r="J567" s="10">
        <v>46285</v>
      </c>
      <c r="L567" t="s">
        <v>308</v>
      </c>
    </row>
    <row r="568" spans="1:12" x14ac:dyDescent="0.25">
      <c r="A568" t="s">
        <v>267</v>
      </c>
      <c r="B568" t="s">
        <v>370</v>
      </c>
      <c r="C568" t="s">
        <v>423</v>
      </c>
      <c r="E568" s="4">
        <v>17514</v>
      </c>
      <c r="F568" t="s">
        <v>372</v>
      </c>
      <c r="G568" s="9">
        <v>1</v>
      </c>
      <c r="H568" s="4">
        <v>17514</v>
      </c>
      <c r="I568" t="s">
        <v>306</v>
      </c>
      <c r="J568" s="10">
        <v>46289</v>
      </c>
      <c r="K568" t="s">
        <v>508</v>
      </c>
      <c r="L568" t="s">
        <v>308</v>
      </c>
    </row>
    <row r="569" spans="1:12" x14ac:dyDescent="0.25">
      <c r="A569" t="s">
        <v>267</v>
      </c>
      <c r="B569" t="s">
        <v>425</v>
      </c>
      <c r="C569" t="s">
        <v>426</v>
      </c>
      <c r="D569" t="s">
        <v>427</v>
      </c>
      <c r="E569" s="4">
        <v>481</v>
      </c>
      <c r="F569" t="s">
        <v>372</v>
      </c>
      <c r="G569" s="9">
        <v>1</v>
      </c>
      <c r="H569" s="4">
        <v>481</v>
      </c>
      <c r="I569" t="s">
        <v>306</v>
      </c>
      <c r="J569" s="10">
        <v>46290</v>
      </c>
      <c r="L569" t="s">
        <v>308</v>
      </c>
    </row>
    <row r="570" spans="1:12" x14ac:dyDescent="0.25">
      <c r="A570" t="s">
        <v>267</v>
      </c>
      <c r="B570" t="s">
        <v>434</v>
      </c>
      <c r="C570" t="s">
        <v>435</v>
      </c>
      <c r="D570" t="s">
        <v>436</v>
      </c>
      <c r="E570" s="4">
        <v>691</v>
      </c>
      <c r="F570" t="s">
        <v>372</v>
      </c>
      <c r="G570" s="9">
        <v>1</v>
      </c>
      <c r="H570" s="4">
        <v>691</v>
      </c>
      <c r="I570" t="s">
        <v>306</v>
      </c>
      <c r="J570" s="10">
        <v>46291</v>
      </c>
      <c r="L570" t="s">
        <v>308</v>
      </c>
    </row>
    <row r="571" spans="1:12" x14ac:dyDescent="0.25">
      <c r="A571" t="s">
        <v>267</v>
      </c>
      <c r="B571" t="s">
        <v>494</v>
      </c>
      <c r="C571" t="s">
        <v>494</v>
      </c>
      <c r="E571" s="4">
        <v>252</v>
      </c>
      <c r="F571" t="s">
        <v>372</v>
      </c>
      <c r="G571" s="9">
        <v>1</v>
      </c>
      <c r="H571" s="4">
        <v>252</v>
      </c>
      <c r="I571" t="s">
        <v>306</v>
      </c>
      <c r="J571" s="10">
        <v>46304</v>
      </c>
      <c r="L571" t="s">
        <v>308</v>
      </c>
    </row>
    <row r="572" spans="1:12" x14ac:dyDescent="0.25">
      <c r="A572" t="s">
        <v>272</v>
      </c>
      <c r="B572" t="s">
        <v>303</v>
      </c>
      <c r="C572" t="s">
        <v>509</v>
      </c>
      <c r="E572" s="4">
        <v>11600</v>
      </c>
      <c r="F572" t="s">
        <v>305</v>
      </c>
      <c r="G572" s="9">
        <v>5.5149</v>
      </c>
      <c r="H572" s="4">
        <v>63972.84</v>
      </c>
      <c r="I572" t="s">
        <v>306</v>
      </c>
      <c r="J572" s="10">
        <v>46236</v>
      </c>
      <c r="K572" t="s">
        <v>510</v>
      </c>
      <c r="L572" t="s">
        <v>308</v>
      </c>
    </row>
    <row r="573" spans="1:12" x14ac:dyDescent="0.25">
      <c r="A573" t="s">
        <v>272</v>
      </c>
      <c r="B573" t="s">
        <v>309</v>
      </c>
      <c r="C573" t="s">
        <v>310</v>
      </c>
      <c r="E573" s="4">
        <v>1178</v>
      </c>
      <c r="F573" t="s">
        <v>305</v>
      </c>
      <c r="G573" s="9">
        <v>5.5149</v>
      </c>
      <c r="H573" s="4">
        <v>6496.552</v>
      </c>
      <c r="I573" t="s">
        <v>306</v>
      </c>
      <c r="J573" s="10">
        <v>46236</v>
      </c>
      <c r="K573" t="s">
        <v>510</v>
      </c>
      <c r="L573" t="s">
        <v>308</v>
      </c>
    </row>
    <row r="574" spans="1:12" x14ac:dyDescent="0.25">
      <c r="A574" t="s">
        <v>272</v>
      </c>
      <c r="B574" t="s">
        <v>311</v>
      </c>
      <c r="C574" t="s">
        <v>312</v>
      </c>
      <c r="E574" s="4">
        <v>159</v>
      </c>
      <c r="F574" t="s">
        <v>305</v>
      </c>
      <c r="G574" s="9">
        <v>5.5149</v>
      </c>
      <c r="H574" s="4">
        <v>876.869</v>
      </c>
      <c r="I574" t="s">
        <v>306</v>
      </c>
      <c r="J574" s="10">
        <v>46236</v>
      </c>
      <c r="L574" t="s">
        <v>308</v>
      </c>
    </row>
    <row r="575" spans="1:12" x14ac:dyDescent="0.25">
      <c r="A575" t="s">
        <v>272</v>
      </c>
      <c r="B575" t="s">
        <v>313</v>
      </c>
      <c r="C575" t="s">
        <v>314</v>
      </c>
      <c r="E575" s="4">
        <v>200</v>
      </c>
      <c r="F575" t="s">
        <v>305</v>
      </c>
      <c r="G575" s="9">
        <v>5.5149</v>
      </c>
      <c r="H575" s="4">
        <v>1102.98</v>
      </c>
      <c r="I575" t="s">
        <v>306</v>
      </c>
      <c r="J575" s="10">
        <v>46236</v>
      </c>
      <c r="L575" t="s">
        <v>308</v>
      </c>
    </row>
    <row r="576" spans="1:12" x14ac:dyDescent="0.25">
      <c r="A576" t="s">
        <v>272</v>
      </c>
      <c r="B576" t="s">
        <v>328</v>
      </c>
      <c r="C576" t="s">
        <v>394</v>
      </c>
      <c r="D576" t="s">
        <v>330</v>
      </c>
      <c r="E576" s="4">
        <v>508</v>
      </c>
      <c r="F576" t="s">
        <v>305</v>
      </c>
      <c r="G576" s="9">
        <v>5.5192</v>
      </c>
      <c r="H576" s="4">
        <v>2803.754</v>
      </c>
      <c r="I576" t="s">
        <v>306</v>
      </c>
      <c r="J576" s="10">
        <v>46238</v>
      </c>
      <c r="L576" t="s">
        <v>308</v>
      </c>
    </row>
    <row r="577" spans="1:12" x14ac:dyDescent="0.25">
      <c r="A577" t="s">
        <v>272</v>
      </c>
      <c r="B577" t="s">
        <v>338</v>
      </c>
      <c r="C577" t="s">
        <v>339</v>
      </c>
      <c r="D577" t="s">
        <v>340</v>
      </c>
      <c r="E577" s="4">
        <v>75</v>
      </c>
      <c r="F577" t="s">
        <v>305</v>
      </c>
      <c r="G577" s="9">
        <v>5.5469</v>
      </c>
      <c r="H577" s="4">
        <v>416.018</v>
      </c>
      <c r="I577" t="s">
        <v>306</v>
      </c>
      <c r="J577" s="10">
        <v>46242</v>
      </c>
      <c r="L577" t="s">
        <v>308</v>
      </c>
    </row>
    <row r="578" spans="1:12" x14ac:dyDescent="0.25">
      <c r="A578" t="s">
        <v>272</v>
      </c>
      <c r="B578" t="s">
        <v>30</v>
      </c>
      <c r="C578" t="s">
        <v>503</v>
      </c>
      <c r="D578" t="s">
        <v>396</v>
      </c>
      <c r="E578" s="4">
        <v>1064</v>
      </c>
      <c r="F578" t="s">
        <v>305</v>
      </c>
      <c r="G578" s="9">
        <v>5.5389</v>
      </c>
      <c r="H578" s="4">
        <v>5893.39</v>
      </c>
      <c r="I578" t="s">
        <v>306</v>
      </c>
      <c r="J578" s="10">
        <v>46248</v>
      </c>
      <c r="L578" t="s">
        <v>308</v>
      </c>
    </row>
    <row r="579" spans="1:12" x14ac:dyDescent="0.25">
      <c r="A579" t="s">
        <v>272</v>
      </c>
      <c r="B579" t="s">
        <v>353</v>
      </c>
      <c r="C579" t="s">
        <v>504</v>
      </c>
      <c r="D579" t="s">
        <v>340</v>
      </c>
      <c r="E579" s="4">
        <v>150</v>
      </c>
      <c r="F579" t="s">
        <v>305</v>
      </c>
      <c r="G579" s="9">
        <v>5.5389</v>
      </c>
      <c r="H579" s="4">
        <v>830.835</v>
      </c>
      <c r="I579" t="s">
        <v>306</v>
      </c>
      <c r="J579" s="10">
        <v>46248</v>
      </c>
      <c r="L579" t="s">
        <v>308</v>
      </c>
    </row>
    <row r="580" spans="1:12" x14ac:dyDescent="0.25">
      <c r="A580" t="s">
        <v>272</v>
      </c>
      <c r="B580" t="s">
        <v>355</v>
      </c>
      <c r="C580" t="s">
        <v>356</v>
      </c>
      <c r="D580" t="s">
        <v>357</v>
      </c>
      <c r="E580" s="4">
        <v>174</v>
      </c>
      <c r="F580" t="s">
        <v>305</v>
      </c>
      <c r="G580" s="9">
        <v>5.5389</v>
      </c>
      <c r="H580" s="4">
        <v>963.769</v>
      </c>
      <c r="I580" t="s">
        <v>306</v>
      </c>
      <c r="J580" s="10">
        <v>46248</v>
      </c>
      <c r="L580" t="s">
        <v>308</v>
      </c>
    </row>
    <row r="581" spans="1:12" x14ac:dyDescent="0.25">
      <c r="A581" t="s">
        <v>272</v>
      </c>
      <c r="B581" t="s">
        <v>398</v>
      </c>
      <c r="C581" t="s">
        <v>399</v>
      </c>
      <c r="D581" t="s">
        <v>400</v>
      </c>
      <c r="E581" s="4">
        <v>695</v>
      </c>
      <c r="F581" t="s">
        <v>372</v>
      </c>
      <c r="G581" s="9">
        <v>1</v>
      </c>
      <c r="H581" s="4">
        <v>695</v>
      </c>
      <c r="I581" t="s">
        <v>306</v>
      </c>
      <c r="J581" s="10">
        <v>46281</v>
      </c>
      <c r="L581" t="s">
        <v>308</v>
      </c>
    </row>
    <row r="582" spans="1:12" x14ac:dyDescent="0.25">
      <c r="A582" t="s">
        <v>272</v>
      </c>
      <c r="B582" t="s">
        <v>370</v>
      </c>
      <c r="C582" t="s">
        <v>423</v>
      </c>
      <c r="E582" s="4">
        <v>14616</v>
      </c>
      <c r="F582" t="s">
        <v>372</v>
      </c>
      <c r="G582" s="9">
        <v>1</v>
      </c>
      <c r="H582" s="4">
        <v>14616</v>
      </c>
      <c r="I582" t="s">
        <v>306</v>
      </c>
      <c r="J582" s="10">
        <v>46285</v>
      </c>
      <c r="K582" t="s">
        <v>511</v>
      </c>
      <c r="L582" t="s">
        <v>308</v>
      </c>
    </row>
    <row r="583" spans="1:12" x14ac:dyDescent="0.25">
      <c r="A583" t="s">
        <v>272</v>
      </c>
      <c r="B583" t="s">
        <v>425</v>
      </c>
      <c r="C583" t="s">
        <v>426</v>
      </c>
      <c r="D583" t="s">
        <v>427</v>
      </c>
      <c r="E583" s="4">
        <v>525</v>
      </c>
      <c r="F583" t="s">
        <v>372</v>
      </c>
      <c r="G583" s="9">
        <v>1</v>
      </c>
      <c r="H583" s="4">
        <v>525</v>
      </c>
      <c r="I583" t="s">
        <v>306</v>
      </c>
      <c r="J583" s="10">
        <v>46286</v>
      </c>
      <c r="L583" t="s">
        <v>308</v>
      </c>
    </row>
    <row r="584" spans="1:12" x14ac:dyDescent="0.25">
      <c r="A584" t="s">
        <v>272</v>
      </c>
      <c r="B584" t="s">
        <v>434</v>
      </c>
      <c r="C584" t="s">
        <v>435</v>
      </c>
      <c r="D584" t="s">
        <v>436</v>
      </c>
      <c r="E584" s="4">
        <v>553</v>
      </c>
      <c r="F584" t="s">
        <v>372</v>
      </c>
      <c r="G584" s="9">
        <v>1</v>
      </c>
      <c r="H584" s="4">
        <v>553</v>
      </c>
      <c r="I584" t="s">
        <v>306</v>
      </c>
      <c r="J584" s="10">
        <v>46287</v>
      </c>
      <c r="L584" t="s">
        <v>308</v>
      </c>
    </row>
    <row r="585" spans="1:12" x14ac:dyDescent="0.25">
      <c r="A585" t="s">
        <v>272</v>
      </c>
      <c r="B585" t="s">
        <v>449</v>
      </c>
      <c r="C585" t="s">
        <v>450</v>
      </c>
      <c r="D585" t="s">
        <v>451</v>
      </c>
      <c r="E585" s="4">
        <v>2294</v>
      </c>
      <c r="F585" t="s">
        <v>372</v>
      </c>
      <c r="G585" s="9">
        <v>1</v>
      </c>
      <c r="H585" s="4">
        <v>2294</v>
      </c>
      <c r="I585" t="s">
        <v>306</v>
      </c>
      <c r="J585" s="10">
        <v>46290</v>
      </c>
      <c r="L585" t="s">
        <v>308</v>
      </c>
    </row>
    <row r="586" spans="1:12" x14ac:dyDescent="0.25">
      <c r="A586" t="s">
        <v>272</v>
      </c>
      <c r="B586" t="s">
        <v>445</v>
      </c>
      <c r="C586" t="s">
        <v>445</v>
      </c>
      <c r="E586" s="4">
        <v>1266</v>
      </c>
      <c r="F586" t="s">
        <v>372</v>
      </c>
      <c r="G586" s="9">
        <v>1</v>
      </c>
      <c r="H586" s="4">
        <v>1266</v>
      </c>
      <c r="I586" t="s">
        <v>306</v>
      </c>
      <c r="J586" s="10">
        <v>46290</v>
      </c>
      <c r="L586" t="s">
        <v>308</v>
      </c>
    </row>
    <row r="587" spans="1:12" x14ac:dyDescent="0.25">
      <c r="A587" t="s">
        <v>272</v>
      </c>
      <c r="B587" t="s">
        <v>494</v>
      </c>
      <c r="C587" t="s">
        <v>494</v>
      </c>
      <c r="E587" s="4">
        <v>370</v>
      </c>
      <c r="F587" t="s">
        <v>372</v>
      </c>
      <c r="G587" s="9">
        <v>1</v>
      </c>
      <c r="H587" s="4">
        <v>370</v>
      </c>
      <c r="I587" t="s">
        <v>306</v>
      </c>
      <c r="J587" s="10">
        <v>46304</v>
      </c>
      <c r="L587" t="s">
        <v>308</v>
      </c>
    </row>
    <row r="588" spans="1:12" x14ac:dyDescent="0.25">
      <c r="A588" t="s">
        <v>275</v>
      </c>
      <c r="B588" t="s">
        <v>303</v>
      </c>
      <c r="C588" t="s">
        <v>512</v>
      </c>
      <c r="E588" s="4">
        <v>24375</v>
      </c>
      <c r="F588" t="s">
        <v>305</v>
      </c>
      <c r="G588" s="9">
        <v>5.5192</v>
      </c>
      <c r="H588" s="4">
        <v>134530.5</v>
      </c>
      <c r="I588" t="s">
        <v>306</v>
      </c>
      <c r="J588" s="10">
        <v>46238</v>
      </c>
      <c r="K588" t="s">
        <v>513</v>
      </c>
      <c r="L588" t="s">
        <v>308</v>
      </c>
    </row>
    <row r="589" spans="1:12" x14ac:dyDescent="0.25">
      <c r="A589" t="s">
        <v>275</v>
      </c>
      <c r="B589" t="s">
        <v>309</v>
      </c>
      <c r="C589" t="s">
        <v>310</v>
      </c>
      <c r="E589" s="4">
        <v>2200</v>
      </c>
      <c r="F589" t="s">
        <v>305</v>
      </c>
      <c r="G589" s="9">
        <v>5.5192</v>
      </c>
      <c r="H589" s="4">
        <v>12142.24</v>
      </c>
      <c r="I589" t="s">
        <v>306</v>
      </c>
      <c r="J589" s="10">
        <v>46238</v>
      </c>
      <c r="K589" t="s">
        <v>513</v>
      </c>
      <c r="L589" t="s">
        <v>308</v>
      </c>
    </row>
    <row r="590" spans="1:12" x14ac:dyDescent="0.25">
      <c r="A590" t="s">
        <v>275</v>
      </c>
      <c r="B590" t="s">
        <v>311</v>
      </c>
      <c r="C590" t="s">
        <v>312</v>
      </c>
      <c r="E590" s="4">
        <v>159</v>
      </c>
      <c r="F590" t="s">
        <v>305</v>
      </c>
      <c r="G590" s="9">
        <v>5.5192</v>
      </c>
      <c r="H590" s="4">
        <v>877.553</v>
      </c>
      <c r="I590" t="s">
        <v>306</v>
      </c>
      <c r="J590" s="10">
        <v>46238</v>
      </c>
      <c r="L590" t="s">
        <v>308</v>
      </c>
    </row>
    <row r="591" spans="1:12" x14ac:dyDescent="0.25">
      <c r="A591" t="s">
        <v>275</v>
      </c>
      <c r="B591" t="s">
        <v>313</v>
      </c>
      <c r="C591" t="s">
        <v>314</v>
      </c>
      <c r="E591" s="4">
        <v>200</v>
      </c>
      <c r="F591" t="s">
        <v>305</v>
      </c>
      <c r="G591" s="9">
        <v>5.5192</v>
      </c>
      <c r="H591" s="4">
        <v>1103.84</v>
      </c>
      <c r="I591" t="s">
        <v>306</v>
      </c>
      <c r="J591" s="10">
        <v>46238</v>
      </c>
      <c r="L591" t="s">
        <v>308</v>
      </c>
    </row>
    <row r="592" spans="1:12" x14ac:dyDescent="0.25">
      <c r="A592" t="s">
        <v>275</v>
      </c>
      <c r="B592" t="s">
        <v>328</v>
      </c>
      <c r="C592" t="s">
        <v>362</v>
      </c>
      <c r="D592" t="s">
        <v>330</v>
      </c>
      <c r="E592" s="4">
        <v>638</v>
      </c>
      <c r="F592" t="s">
        <v>305</v>
      </c>
      <c r="G592" s="9">
        <v>5.5373</v>
      </c>
      <c r="H592" s="4">
        <v>3532.797</v>
      </c>
      <c r="I592" t="s">
        <v>306</v>
      </c>
      <c r="J592" s="10">
        <v>46240</v>
      </c>
      <c r="L592" t="s">
        <v>308</v>
      </c>
    </row>
    <row r="593" spans="1:12" x14ac:dyDescent="0.25">
      <c r="A593" t="s">
        <v>275</v>
      </c>
      <c r="B593" t="s">
        <v>338</v>
      </c>
      <c r="C593" t="s">
        <v>339</v>
      </c>
      <c r="D593" t="s">
        <v>340</v>
      </c>
      <c r="E593" s="4">
        <v>75</v>
      </c>
      <c r="F593" t="s">
        <v>305</v>
      </c>
      <c r="G593" s="9">
        <v>5.5318</v>
      </c>
      <c r="H593" s="4">
        <v>414.885</v>
      </c>
      <c r="I593" t="s">
        <v>306</v>
      </c>
      <c r="J593" s="10">
        <v>46244</v>
      </c>
      <c r="L593" t="s">
        <v>308</v>
      </c>
    </row>
    <row r="594" spans="1:12" x14ac:dyDescent="0.25">
      <c r="A594" t="s">
        <v>275</v>
      </c>
      <c r="B594" t="s">
        <v>30</v>
      </c>
      <c r="C594" t="s">
        <v>503</v>
      </c>
      <c r="D594" t="s">
        <v>396</v>
      </c>
      <c r="E594" s="4">
        <v>1064</v>
      </c>
      <c r="F594" t="s">
        <v>305</v>
      </c>
      <c r="G594" s="9">
        <v>5.5389</v>
      </c>
      <c r="H594" s="4">
        <v>5893.39</v>
      </c>
      <c r="I594" t="s">
        <v>306</v>
      </c>
      <c r="J594" s="10">
        <v>46248</v>
      </c>
      <c r="L594" t="s">
        <v>308</v>
      </c>
    </row>
    <row r="595" spans="1:12" x14ac:dyDescent="0.25">
      <c r="A595" t="s">
        <v>275</v>
      </c>
      <c r="B595" t="s">
        <v>353</v>
      </c>
      <c r="C595" t="s">
        <v>504</v>
      </c>
      <c r="D595" t="s">
        <v>340</v>
      </c>
      <c r="E595" s="4">
        <v>150</v>
      </c>
      <c r="F595" t="s">
        <v>305</v>
      </c>
      <c r="G595" s="9">
        <v>5.5389</v>
      </c>
      <c r="H595" s="4">
        <v>830.835</v>
      </c>
      <c r="I595" t="s">
        <v>306</v>
      </c>
      <c r="J595" s="10">
        <v>46248</v>
      </c>
      <c r="L595" t="s">
        <v>308</v>
      </c>
    </row>
    <row r="596" spans="1:12" x14ac:dyDescent="0.25">
      <c r="A596" t="s">
        <v>275</v>
      </c>
      <c r="B596" t="s">
        <v>355</v>
      </c>
      <c r="C596" t="s">
        <v>356</v>
      </c>
      <c r="D596" t="s">
        <v>357</v>
      </c>
      <c r="E596" s="4">
        <v>365.625</v>
      </c>
      <c r="F596" t="s">
        <v>305</v>
      </c>
      <c r="G596" s="9">
        <v>5.5389</v>
      </c>
      <c r="H596" s="4">
        <v>2025.16</v>
      </c>
      <c r="I596" t="s">
        <v>306</v>
      </c>
      <c r="J596" s="10">
        <v>46248</v>
      </c>
      <c r="L596" t="s">
        <v>308</v>
      </c>
    </row>
    <row r="597" spans="1:12" x14ac:dyDescent="0.25">
      <c r="A597" t="s">
        <v>275</v>
      </c>
      <c r="B597" t="s">
        <v>398</v>
      </c>
      <c r="C597" t="s">
        <v>399</v>
      </c>
      <c r="D597" t="s">
        <v>400</v>
      </c>
      <c r="E597" s="4">
        <v>604</v>
      </c>
      <c r="F597" t="s">
        <v>372</v>
      </c>
      <c r="G597" s="9">
        <v>1</v>
      </c>
      <c r="H597" s="4">
        <v>604</v>
      </c>
      <c r="I597" t="s">
        <v>306</v>
      </c>
      <c r="J597" s="10">
        <v>46283</v>
      </c>
      <c r="L597" t="s">
        <v>308</v>
      </c>
    </row>
    <row r="598" spans="1:12" x14ac:dyDescent="0.25">
      <c r="A598" t="s">
        <v>275</v>
      </c>
      <c r="B598" t="s">
        <v>370</v>
      </c>
      <c r="C598" t="s">
        <v>423</v>
      </c>
      <c r="E598" s="4">
        <v>30713</v>
      </c>
      <c r="F598" t="s">
        <v>372</v>
      </c>
      <c r="G598" s="9">
        <v>1</v>
      </c>
      <c r="H598" s="4">
        <v>30713</v>
      </c>
      <c r="I598" t="s">
        <v>306</v>
      </c>
      <c r="J598" s="10">
        <v>46287</v>
      </c>
      <c r="K598" t="s">
        <v>514</v>
      </c>
      <c r="L598" t="s">
        <v>308</v>
      </c>
    </row>
    <row r="599" spans="1:12" x14ac:dyDescent="0.25">
      <c r="A599" t="s">
        <v>275</v>
      </c>
      <c r="B599" t="s">
        <v>425</v>
      </c>
      <c r="C599" t="s">
        <v>426</v>
      </c>
      <c r="D599" t="s">
        <v>427</v>
      </c>
      <c r="E599" s="4">
        <v>377</v>
      </c>
      <c r="F599" t="s">
        <v>372</v>
      </c>
      <c r="G599" s="9">
        <v>1</v>
      </c>
      <c r="H599" s="4">
        <v>377</v>
      </c>
      <c r="I599" t="s">
        <v>306</v>
      </c>
      <c r="J599" s="10">
        <v>46288</v>
      </c>
      <c r="L599" t="s">
        <v>308</v>
      </c>
    </row>
    <row r="600" spans="1:12" x14ac:dyDescent="0.25">
      <c r="A600" t="s">
        <v>275</v>
      </c>
      <c r="B600" t="s">
        <v>434</v>
      </c>
      <c r="C600" t="s">
        <v>435</v>
      </c>
      <c r="D600" t="s">
        <v>436</v>
      </c>
      <c r="E600" s="4">
        <v>588</v>
      </c>
      <c r="F600" t="s">
        <v>372</v>
      </c>
      <c r="G600" s="9">
        <v>1</v>
      </c>
      <c r="H600" s="4">
        <v>588</v>
      </c>
      <c r="I600" t="s">
        <v>306</v>
      </c>
      <c r="J600" s="10">
        <v>46289</v>
      </c>
      <c r="L600" t="s">
        <v>308</v>
      </c>
    </row>
    <row r="601" spans="1:12" x14ac:dyDescent="0.25">
      <c r="A601" t="s">
        <v>275</v>
      </c>
      <c r="B601" t="s">
        <v>449</v>
      </c>
      <c r="C601" t="s">
        <v>450</v>
      </c>
      <c r="D601" t="s">
        <v>451</v>
      </c>
      <c r="E601" s="4">
        <v>2198</v>
      </c>
      <c r="F601" t="s">
        <v>372</v>
      </c>
      <c r="G601" s="9">
        <v>1</v>
      </c>
      <c r="H601" s="4">
        <v>2198</v>
      </c>
      <c r="I601" t="s">
        <v>306</v>
      </c>
      <c r="J601" s="10">
        <v>46292</v>
      </c>
      <c r="L601" t="s">
        <v>308</v>
      </c>
    </row>
    <row r="602" spans="1:12" x14ac:dyDescent="0.25">
      <c r="A602" t="s">
        <v>275</v>
      </c>
      <c r="B602" t="s">
        <v>494</v>
      </c>
      <c r="C602" t="s">
        <v>494</v>
      </c>
      <c r="E602" s="4">
        <v>210</v>
      </c>
      <c r="F602" t="s">
        <v>372</v>
      </c>
      <c r="G602" s="9">
        <v>1</v>
      </c>
      <c r="H602" s="4">
        <v>210</v>
      </c>
      <c r="I602" t="s">
        <v>306</v>
      </c>
      <c r="J602" s="10">
        <v>46304</v>
      </c>
      <c r="L602" t="s">
        <v>308</v>
      </c>
    </row>
    <row r="603" spans="1:12" x14ac:dyDescent="0.25">
      <c r="A603" t="s">
        <v>278</v>
      </c>
      <c r="B603" t="s">
        <v>303</v>
      </c>
      <c r="C603" t="s">
        <v>515</v>
      </c>
      <c r="E603" s="4">
        <v>17000</v>
      </c>
      <c r="F603" t="s">
        <v>305</v>
      </c>
      <c r="G603" s="9">
        <v>5.5139</v>
      </c>
      <c r="H603" s="4">
        <v>93736.3</v>
      </c>
      <c r="I603" t="s">
        <v>306</v>
      </c>
      <c r="J603" s="10">
        <v>46237</v>
      </c>
      <c r="K603" t="s">
        <v>516</v>
      </c>
      <c r="L603" t="s">
        <v>308</v>
      </c>
    </row>
    <row r="604" spans="1:12" x14ac:dyDescent="0.25">
      <c r="A604" t="s">
        <v>278</v>
      </c>
      <c r="B604" t="s">
        <v>309</v>
      </c>
      <c r="C604" t="s">
        <v>310</v>
      </c>
      <c r="E604" s="4">
        <v>1610</v>
      </c>
      <c r="F604" t="s">
        <v>305</v>
      </c>
      <c r="G604" s="9">
        <v>5.5139</v>
      </c>
      <c r="H604" s="4">
        <v>8877.379</v>
      </c>
      <c r="I604" t="s">
        <v>306</v>
      </c>
      <c r="J604" s="10">
        <v>46237</v>
      </c>
      <c r="K604" t="s">
        <v>516</v>
      </c>
      <c r="L604" t="s">
        <v>308</v>
      </c>
    </row>
    <row r="605" spans="1:12" x14ac:dyDescent="0.25">
      <c r="A605" t="s">
        <v>278</v>
      </c>
      <c r="B605" t="s">
        <v>311</v>
      </c>
      <c r="C605" t="s">
        <v>312</v>
      </c>
      <c r="E605" s="4">
        <v>159</v>
      </c>
      <c r="F605" t="s">
        <v>305</v>
      </c>
      <c r="G605" s="9">
        <v>5.5139</v>
      </c>
      <c r="H605" s="4">
        <v>876.71</v>
      </c>
      <c r="I605" t="s">
        <v>306</v>
      </c>
      <c r="J605" s="10">
        <v>46237</v>
      </c>
      <c r="L605" t="s">
        <v>308</v>
      </c>
    </row>
    <row r="606" spans="1:12" x14ac:dyDescent="0.25">
      <c r="A606" t="s">
        <v>278</v>
      </c>
      <c r="B606" t="s">
        <v>313</v>
      </c>
      <c r="C606" t="s">
        <v>314</v>
      </c>
      <c r="E606" s="4">
        <v>200</v>
      </c>
      <c r="F606" t="s">
        <v>305</v>
      </c>
      <c r="G606" s="9">
        <v>5.5139</v>
      </c>
      <c r="H606" s="4">
        <v>1102.78</v>
      </c>
      <c r="I606" t="s">
        <v>306</v>
      </c>
      <c r="J606" s="10">
        <v>46237</v>
      </c>
      <c r="L606" t="s">
        <v>308</v>
      </c>
    </row>
    <row r="607" spans="1:12" x14ac:dyDescent="0.25">
      <c r="A607" t="s">
        <v>278</v>
      </c>
      <c r="B607" t="s">
        <v>328</v>
      </c>
      <c r="C607" t="s">
        <v>394</v>
      </c>
      <c r="D607" t="s">
        <v>330</v>
      </c>
      <c r="E607" s="4">
        <v>482</v>
      </c>
      <c r="F607" t="s">
        <v>305</v>
      </c>
      <c r="G607" s="9">
        <v>5.529</v>
      </c>
      <c r="H607" s="4">
        <v>2664.978</v>
      </c>
      <c r="I607" t="s">
        <v>306</v>
      </c>
      <c r="J607" s="10">
        <v>46239</v>
      </c>
      <c r="L607" t="s">
        <v>308</v>
      </c>
    </row>
    <row r="608" spans="1:12" x14ac:dyDescent="0.25">
      <c r="A608" t="s">
        <v>278</v>
      </c>
      <c r="B608" t="s">
        <v>338</v>
      </c>
      <c r="C608" t="s">
        <v>339</v>
      </c>
      <c r="D608" t="s">
        <v>340</v>
      </c>
      <c r="E608" s="4">
        <v>75</v>
      </c>
      <c r="F608" t="s">
        <v>305</v>
      </c>
      <c r="G608" s="9">
        <v>5.5389</v>
      </c>
      <c r="H608" s="4">
        <v>415.418</v>
      </c>
      <c r="I608" t="s">
        <v>306</v>
      </c>
      <c r="J608" s="10">
        <v>46243</v>
      </c>
      <c r="L608" t="s">
        <v>308</v>
      </c>
    </row>
    <row r="609" spans="1:12" x14ac:dyDescent="0.25">
      <c r="A609" t="s">
        <v>278</v>
      </c>
      <c r="B609" t="s">
        <v>30</v>
      </c>
      <c r="C609" t="s">
        <v>517</v>
      </c>
      <c r="D609" t="s">
        <v>368</v>
      </c>
      <c r="E609" s="4">
        <v>3863</v>
      </c>
      <c r="F609" t="s">
        <v>305</v>
      </c>
      <c r="G609" s="9">
        <v>5.5361</v>
      </c>
      <c r="H609" s="4">
        <v>21385.954</v>
      </c>
      <c r="I609" t="s">
        <v>306</v>
      </c>
      <c r="J609" s="10">
        <v>46249</v>
      </c>
      <c r="L609" t="s">
        <v>308</v>
      </c>
    </row>
    <row r="610" spans="1:12" x14ac:dyDescent="0.25">
      <c r="A610" t="s">
        <v>278</v>
      </c>
      <c r="B610" t="s">
        <v>353</v>
      </c>
      <c r="C610" t="s">
        <v>518</v>
      </c>
      <c r="D610" t="s">
        <v>340</v>
      </c>
      <c r="E610" s="4">
        <v>600</v>
      </c>
      <c r="F610" t="s">
        <v>305</v>
      </c>
      <c r="G610" s="9">
        <v>5.5361</v>
      </c>
      <c r="H610" s="4">
        <v>3321.66</v>
      </c>
      <c r="I610" t="s">
        <v>306</v>
      </c>
      <c r="J610" s="10">
        <v>46249</v>
      </c>
      <c r="L610" t="s">
        <v>308</v>
      </c>
    </row>
    <row r="611" spans="1:12" x14ac:dyDescent="0.25">
      <c r="A611" t="s">
        <v>278</v>
      </c>
      <c r="B611" t="s">
        <v>355</v>
      </c>
      <c r="C611" t="s">
        <v>356</v>
      </c>
      <c r="D611" t="s">
        <v>357</v>
      </c>
      <c r="E611" s="4">
        <v>255</v>
      </c>
      <c r="F611" t="s">
        <v>305</v>
      </c>
      <c r="G611" s="9">
        <v>5.5361</v>
      </c>
      <c r="H611" s="4">
        <v>1411.706</v>
      </c>
      <c r="I611" t="s">
        <v>306</v>
      </c>
      <c r="J611" s="10">
        <v>46249</v>
      </c>
      <c r="L611" t="s">
        <v>308</v>
      </c>
    </row>
    <row r="612" spans="1:12" x14ac:dyDescent="0.25">
      <c r="A612" t="s">
        <v>278</v>
      </c>
      <c r="B612" t="s">
        <v>398</v>
      </c>
      <c r="C612" t="s">
        <v>399</v>
      </c>
      <c r="D612" t="s">
        <v>400</v>
      </c>
      <c r="E612" s="4">
        <v>694</v>
      </c>
      <c r="F612" t="s">
        <v>372</v>
      </c>
      <c r="G612" s="9">
        <v>1</v>
      </c>
      <c r="H612" s="4">
        <v>694</v>
      </c>
      <c r="I612" t="s">
        <v>306</v>
      </c>
      <c r="J612" s="10">
        <v>46282</v>
      </c>
      <c r="L612" t="s">
        <v>308</v>
      </c>
    </row>
    <row r="613" spans="1:12" x14ac:dyDescent="0.25">
      <c r="A613" t="s">
        <v>278</v>
      </c>
      <c r="B613" t="s">
        <v>370</v>
      </c>
      <c r="C613" t="s">
        <v>423</v>
      </c>
      <c r="E613" s="4">
        <v>21420</v>
      </c>
      <c r="F613" t="s">
        <v>372</v>
      </c>
      <c r="G613" s="9">
        <v>1</v>
      </c>
      <c r="H613" s="4">
        <v>21420</v>
      </c>
      <c r="I613" t="s">
        <v>306</v>
      </c>
      <c r="J613" s="10">
        <v>46286</v>
      </c>
      <c r="K613" t="s">
        <v>519</v>
      </c>
      <c r="L613" t="s">
        <v>308</v>
      </c>
    </row>
    <row r="614" spans="1:12" x14ac:dyDescent="0.25">
      <c r="A614" t="s">
        <v>278</v>
      </c>
      <c r="B614" t="s">
        <v>425</v>
      </c>
      <c r="C614" t="s">
        <v>426</v>
      </c>
      <c r="D614" t="s">
        <v>427</v>
      </c>
      <c r="E614" s="4">
        <v>400</v>
      </c>
      <c r="F614" t="s">
        <v>372</v>
      </c>
      <c r="G614" s="9">
        <v>1</v>
      </c>
      <c r="H614" s="4">
        <v>400</v>
      </c>
      <c r="I614" t="s">
        <v>306</v>
      </c>
      <c r="J614" s="10">
        <v>46287</v>
      </c>
      <c r="L614" t="s">
        <v>308</v>
      </c>
    </row>
    <row r="615" spans="1:12" x14ac:dyDescent="0.25">
      <c r="A615" t="s">
        <v>278</v>
      </c>
      <c r="B615" t="s">
        <v>434</v>
      </c>
      <c r="C615" t="s">
        <v>435</v>
      </c>
      <c r="D615" t="s">
        <v>436</v>
      </c>
      <c r="E615" s="4">
        <v>428</v>
      </c>
      <c r="F615" t="s">
        <v>372</v>
      </c>
      <c r="G615" s="9">
        <v>1</v>
      </c>
      <c r="H615" s="4">
        <v>428</v>
      </c>
      <c r="I615" t="s">
        <v>306</v>
      </c>
      <c r="J615" s="10">
        <v>46288</v>
      </c>
      <c r="L615" t="s">
        <v>308</v>
      </c>
    </row>
    <row r="616" spans="1:12" x14ac:dyDescent="0.25">
      <c r="A616" t="s">
        <v>278</v>
      </c>
      <c r="B616" t="s">
        <v>449</v>
      </c>
      <c r="C616" t="s">
        <v>450</v>
      </c>
      <c r="D616" t="s">
        <v>451</v>
      </c>
      <c r="E616" s="4">
        <v>5880</v>
      </c>
      <c r="F616" t="s">
        <v>372</v>
      </c>
      <c r="G616" s="9">
        <v>1</v>
      </c>
      <c r="H616" s="4">
        <v>5880</v>
      </c>
      <c r="I616" t="s">
        <v>306</v>
      </c>
      <c r="J616" s="10">
        <v>46291</v>
      </c>
      <c r="L616" t="s">
        <v>308</v>
      </c>
    </row>
    <row r="617" spans="1:12" x14ac:dyDescent="0.25">
      <c r="A617" t="s">
        <v>278</v>
      </c>
      <c r="B617" t="s">
        <v>445</v>
      </c>
      <c r="C617" t="s">
        <v>445</v>
      </c>
      <c r="E617" s="4">
        <v>678</v>
      </c>
      <c r="F617" t="s">
        <v>372</v>
      </c>
      <c r="G617" s="9">
        <v>1</v>
      </c>
      <c r="H617" s="4">
        <v>678</v>
      </c>
      <c r="I617" t="s">
        <v>306</v>
      </c>
      <c r="J617" s="10">
        <v>46291</v>
      </c>
      <c r="L617" t="s">
        <v>308</v>
      </c>
    </row>
    <row r="618" spans="1:12" x14ac:dyDescent="0.25">
      <c r="A618" t="s">
        <v>278</v>
      </c>
      <c r="B618" t="s">
        <v>494</v>
      </c>
      <c r="C618" t="s">
        <v>494</v>
      </c>
      <c r="E618" s="4">
        <v>170</v>
      </c>
      <c r="F618" t="s">
        <v>372</v>
      </c>
      <c r="G618" s="9">
        <v>1</v>
      </c>
      <c r="H618" s="4">
        <v>170</v>
      </c>
      <c r="I618" t="s">
        <v>306</v>
      </c>
      <c r="J618" s="10">
        <v>46304</v>
      </c>
      <c r="L618" t="s">
        <v>308</v>
      </c>
    </row>
    <row r="619" spans="1:12" x14ac:dyDescent="0.25">
      <c r="A619" t="s">
        <v>283</v>
      </c>
      <c r="B619" t="s">
        <v>303</v>
      </c>
      <c r="C619" t="s">
        <v>520</v>
      </c>
      <c r="E619" s="4">
        <v>20950</v>
      </c>
      <c r="F619" t="s">
        <v>305</v>
      </c>
      <c r="G619" s="9">
        <v>5.5696</v>
      </c>
      <c r="H619" s="4">
        <v>116683.12</v>
      </c>
      <c r="I619" t="s">
        <v>306</v>
      </c>
      <c r="J619" s="10">
        <v>46271</v>
      </c>
      <c r="K619" t="s">
        <v>521</v>
      </c>
      <c r="L619" t="s">
        <v>308</v>
      </c>
    </row>
    <row r="620" spans="1:12" x14ac:dyDescent="0.25">
      <c r="A620" t="s">
        <v>283</v>
      </c>
      <c r="B620" t="s">
        <v>309</v>
      </c>
      <c r="C620" t="s">
        <v>310</v>
      </c>
      <c r="E620" s="4">
        <v>1926</v>
      </c>
      <c r="F620" t="s">
        <v>305</v>
      </c>
      <c r="G620" s="9">
        <v>5.5696</v>
      </c>
      <c r="H620" s="4">
        <v>10727.05</v>
      </c>
      <c r="I620" t="s">
        <v>306</v>
      </c>
      <c r="J620" s="10">
        <v>46271</v>
      </c>
      <c r="K620" t="s">
        <v>521</v>
      </c>
      <c r="L620" t="s">
        <v>308</v>
      </c>
    </row>
    <row r="621" spans="1:12" x14ac:dyDescent="0.25">
      <c r="A621" t="s">
        <v>283</v>
      </c>
      <c r="B621" t="s">
        <v>311</v>
      </c>
      <c r="C621" t="s">
        <v>312</v>
      </c>
      <c r="E621" s="4">
        <v>135</v>
      </c>
      <c r="F621" t="s">
        <v>305</v>
      </c>
      <c r="G621" s="9">
        <v>5.5696</v>
      </c>
      <c r="H621" s="4">
        <v>751.896</v>
      </c>
      <c r="I621" t="s">
        <v>306</v>
      </c>
      <c r="J621" s="10">
        <v>46271</v>
      </c>
      <c r="L621" t="s">
        <v>308</v>
      </c>
    </row>
    <row r="622" spans="1:12" x14ac:dyDescent="0.25">
      <c r="A622" t="s">
        <v>283</v>
      </c>
      <c r="B622" t="s">
        <v>313</v>
      </c>
      <c r="C622" t="s">
        <v>314</v>
      </c>
      <c r="E622" s="4">
        <v>200</v>
      </c>
      <c r="F622" t="s">
        <v>305</v>
      </c>
      <c r="G622" s="9">
        <v>5.5696</v>
      </c>
      <c r="H622" s="4">
        <v>1113.92</v>
      </c>
      <c r="I622" t="s">
        <v>306</v>
      </c>
      <c r="J622" s="10">
        <v>46271</v>
      </c>
      <c r="L622" t="s">
        <v>308</v>
      </c>
    </row>
    <row r="623" spans="1:12" x14ac:dyDescent="0.25">
      <c r="A623" t="s">
        <v>283</v>
      </c>
      <c r="B623" t="s">
        <v>328</v>
      </c>
      <c r="C623" t="s">
        <v>329</v>
      </c>
      <c r="D623" t="s">
        <v>330</v>
      </c>
      <c r="E623" s="4">
        <v>777</v>
      </c>
      <c r="F623" t="s">
        <v>305</v>
      </c>
      <c r="G623" s="9">
        <v>5.5782</v>
      </c>
      <c r="H623" s="4">
        <v>4334.261</v>
      </c>
      <c r="I623" t="s">
        <v>306</v>
      </c>
      <c r="J623" s="10">
        <v>46273</v>
      </c>
      <c r="L623" t="s">
        <v>308</v>
      </c>
    </row>
    <row r="624" spans="1:12" x14ac:dyDescent="0.25">
      <c r="A624" t="s">
        <v>283</v>
      </c>
      <c r="B624" t="s">
        <v>338</v>
      </c>
      <c r="C624" t="s">
        <v>339</v>
      </c>
      <c r="D624" t="s">
        <v>340</v>
      </c>
      <c r="E624" s="4">
        <v>75</v>
      </c>
      <c r="F624" t="s">
        <v>305</v>
      </c>
      <c r="G624" s="9">
        <v>5.5565</v>
      </c>
      <c r="H624" s="4">
        <v>416.738</v>
      </c>
      <c r="I624" t="s">
        <v>306</v>
      </c>
      <c r="J624" s="10">
        <v>46277</v>
      </c>
      <c r="L624" t="s">
        <v>308</v>
      </c>
    </row>
    <row r="625" spans="1:12" x14ac:dyDescent="0.25">
      <c r="A625" t="s">
        <v>283</v>
      </c>
      <c r="B625" t="s">
        <v>30</v>
      </c>
      <c r="C625" t="s">
        <v>522</v>
      </c>
      <c r="D625" t="s">
        <v>396</v>
      </c>
      <c r="E625" s="4">
        <v>2392.5</v>
      </c>
      <c r="F625" t="s">
        <v>305</v>
      </c>
      <c r="G625" s="9">
        <v>5.5612</v>
      </c>
      <c r="H625" s="4">
        <v>13305.171</v>
      </c>
      <c r="I625" t="s">
        <v>306</v>
      </c>
      <c r="J625" s="10">
        <v>46279</v>
      </c>
      <c r="L625" t="s">
        <v>308</v>
      </c>
    </row>
    <row r="626" spans="1:12" x14ac:dyDescent="0.25">
      <c r="A626" t="s">
        <v>283</v>
      </c>
      <c r="B626" t="s">
        <v>353</v>
      </c>
      <c r="C626" t="s">
        <v>523</v>
      </c>
      <c r="D626" t="s">
        <v>340</v>
      </c>
      <c r="E626" s="4">
        <v>300</v>
      </c>
      <c r="F626" t="s">
        <v>305</v>
      </c>
      <c r="G626" s="9">
        <v>5.5612</v>
      </c>
      <c r="H626" s="4">
        <v>1668.36</v>
      </c>
      <c r="I626" t="s">
        <v>306</v>
      </c>
      <c r="J626" s="10">
        <v>46279</v>
      </c>
      <c r="L626" t="s">
        <v>308</v>
      </c>
    </row>
    <row r="627" spans="1:12" x14ac:dyDescent="0.25">
      <c r="A627" t="s">
        <v>283</v>
      </c>
      <c r="B627" t="s">
        <v>355</v>
      </c>
      <c r="C627" t="s">
        <v>356</v>
      </c>
      <c r="D627" t="s">
        <v>357</v>
      </c>
      <c r="E627" s="4">
        <v>314.25</v>
      </c>
      <c r="F627" t="s">
        <v>305</v>
      </c>
      <c r="G627" s="9">
        <v>5.5612</v>
      </c>
      <c r="H627" s="4">
        <v>1747.607</v>
      </c>
      <c r="I627" t="s">
        <v>306</v>
      </c>
      <c r="J627" s="10">
        <v>46279</v>
      </c>
      <c r="L627" t="s">
        <v>308</v>
      </c>
    </row>
    <row r="628" spans="1:12" x14ac:dyDescent="0.25">
      <c r="A628" t="s">
        <v>283</v>
      </c>
      <c r="B628" t="s">
        <v>398</v>
      </c>
      <c r="C628" t="s">
        <v>399</v>
      </c>
      <c r="D628" t="s">
        <v>400</v>
      </c>
      <c r="E628" s="4">
        <v>842</v>
      </c>
      <c r="F628" t="s">
        <v>372</v>
      </c>
      <c r="G628" s="9">
        <v>1</v>
      </c>
      <c r="H628" s="4">
        <v>842</v>
      </c>
      <c r="I628" t="s">
        <v>306</v>
      </c>
      <c r="J628" s="10">
        <v>46316</v>
      </c>
      <c r="L628" t="s">
        <v>315</v>
      </c>
    </row>
    <row r="629" spans="1:12" x14ac:dyDescent="0.25">
      <c r="A629" t="s">
        <v>289</v>
      </c>
      <c r="B629" t="s">
        <v>303</v>
      </c>
      <c r="C629" t="s">
        <v>524</v>
      </c>
      <c r="E629" s="4">
        <v>4550</v>
      </c>
      <c r="F629" t="s">
        <v>305</v>
      </c>
      <c r="G629" s="9">
        <v>5.5718</v>
      </c>
      <c r="H629" s="4">
        <v>25351.69</v>
      </c>
      <c r="I629" t="s">
        <v>306</v>
      </c>
      <c r="J629" s="10">
        <v>46267</v>
      </c>
      <c r="K629" t="s">
        <v>525</v>
      </c>
      <c r="L629" t="s">
        <v>308</v>
      </c>
    </row>
    <row r="630" spans="1:12" x14ac:dyDescent="0.25">
      <c r="A630" t="s">
        <v>289</v>
      </c>
      <c r="B630" t="s">
        <v>309</v>
      </c>
      <c r="C630" t="s">
        <v>310</v>
      </c>
      <c r="E630" s="4">
        <v>614</v>
      </c>
      <c r="F630" t="s">
        <v>305</v>
      </c>
      <c r="G630" s="9">
        <v>5.5718</v>
      </c>
      <c r="H630" s="4">
        <v>3421.085</v>
      </c>
      <c r="I630" t="s">
        <v>306</v>
      </c>
      <c r="J630" s="10">
        <v>46267</v>
      </c>
      <c r="K630" t="s">
        <v>525</v>
      </c>
      <c r="L630" t="s">
        <v>308</v>
      </c>
    </row>
    <row r="631" spans="1:12" x14ac:dyDescent="0.25">
      <c r="A631" t="s">
        <v>289</v>
      </c>
      <c r="B631" t="s">
        <v>311</v>
      </c>
      <c r="C631" t="s">
        <v>312</v>
      </c>
      <c r="E631" s="4">
        <v>135</v>
      </c>
      <c r="F631" t="s">
        <v>305</v>
      </c>
      <c r="G631" s="9">
        <v>5.5718</v>
      </c>
      <c r="H631" s="4">
        <v>752.193</v>
      </c>
      <c r="I631" t="s">
        <v>306</v>
      </c>
      <c r="J631" s="10">
        <v>46267</v>
      </c>
      <c r="L631" t="s">
        <v>308</v>
      </c>
    </row>
    <row r="632" spans="1:12" x14ac:dyDescent="0.25">
      <c r="A632" t="s">
        <v>289</v>
      </c>
      <c r="B632" t="s">
        <v>313</v>
      </c>
      <c r="C632" t="s">
        <v>314</v>
      </c>
      <c r="E632" s="4">
        <v>200</v>
      </c>
      <c r="F632" t="s">
        <v>305</v>
      </c>
      <c r="G632" s="9">
        <v>5.5718</v>
      </c>
      <c r="H632" s="4">
        <v>1114.36</v>
      </c>
      <c r="I632" t="s">
        <v>306</v>
      </c>
      <c r="J632" s="10">
        <v>46267</v>
      </c>
      <c r="L632" t="s">
        <v>308</v>
      </c>
    </row>
    <row r="633" spans="1:12" x14ac:dyDescent="0.25">
      <c r="A633" t="s">
        <v>289</v>
      </c>
      <c r="B633" t="s">
        <v>328</v>
      </c>
      <c r="C633" t="s">
        <v>350</v>
      </c>
      <c r="D633" t="s">
        <v>347</v>
      </c>
      <c r="E633" s="4">
        <v>481</v>
      </c>
      <c r="F633" t="s">
        <v>305</v>
      </c>
      <c r="G633" s="9">
        <v>5.5783</v>
      </c>
      <c r="H633" s="4">
        <v>2683.162</v>
      </c>
      <c r="I633" t="s">
        <v>306</v>
      </c>
      <c r="J633" s="10">
        <v>46269</v>
      </c>
      <c r="L633" t="s">
        <v>308</v>
      </c>
    </row>
    <row r="634" spans="1:12" x14ac:dyDescent="0.25">
      <c r="A634" t="s">
        <v>289</v>
      </c>
      <c r="B634" t="s">
        <v>338</v>
      </c>
      <c r="C634" t="s">
        <v>339</v>
      </c>
      <c r="D634" t="s">
        <v>340</v>
      </c>
      <c r="E634" s="4">
        <v>75</v>
      </c>
      <c r="F634" t="s">
        <v>305</v>
      </c>
      <c r="G634" s="9">
        <v>5.5782</v>
      </c>
      <c r="H634" s="4">
        <v>418.365</v>
      </c>
      <c r="I634" t="s">
        <v>306</v>
      </c>
      <c r="J634" s="10">
        <v>46273</v>
      </c>
      <c r="L634" t="s">
        <v>308</v>
      </c>
    </row>
    <row r="635" spans="1:12" x14ac:dyDescent="0.25">
      <c r="A635" t="s">
        <v>289</v>
      </c>
      <c r="B635" t="s">
        <v>30</v>
      </c>
      <c r="C635" t="s">
        <v>522</v>
      </c>
      <c r="D635" t="s">
        <v>396</v>
      </c>
      <c r="E635" s="4">
        <v>2392.5</v>
      </c>
      <c r="F635" t="s">
        <v>305</v>
      </c>
      <c r="G635" s="9">
        <v>5.5612</v>
      </c>
      <c r="H635" s="4">
        <v>13305.171</v>
      </c>
      <c r="I635" t="s">
        <v>306</v>
      </c>
      <c r="J635" s="10">
        <v>46279</v>
      </c>
      <c r="L635" t="s">
        <v>308</v>
      </c>
    </row>
    <row r="636" spans="1:12" x14ac:dyDescent="0.25">
      <c r="A636" t="s">
        <v>289</v>
      </c>
      <c r="B636" t="s">
        <v>353</v>
      </c>
      <c r="C636" t="s">
        <v>523</v>
      </c>
      <c r="D636" t="s">
        <v>340</v>
      </c>
      <c r="E636" s="4">
        <v>300</v>
      </c>
      <c r="F636" t="s">
        <v>305</v>
      </c>
      <c r="G636" s="9">
        <v>5.5612</v>
      </c>
      <c r="H636" s="4">
        <v>1668.36</v>
      </c>
      <c r="I636" t="s">
        <v>306</v>
      </c>
      <c r="J636" s="10">
        <v>46279</v>
      </c>
      <c r="L636" t="s">
        <v>308</v>
      </c>
    </row>
    <row r="637" spans="1:12" x14ac:dyDescent="0.25">
      <c r="A637" t="s">
        <v>289</v>
      </c>
      <c r="B637" t="s">
        <v>355</v>
      </c>
      <c r="C637" t="s">
        <v>356</v>
      </c>
      <c r="D637" t="s">
        <v>357</v>
      </c>
      <c r="E637" s="4">
        <v>68.25</v>
      </c>
      <c r="F637" t="s">
        <v>305</v>
      </c>
      <c r="G637" s="9">
        <v>5.5612</v>
      </c>
      <c r="H637" s="4">
        <v>379.552</v>
      </c>
      <c r="I637" t="s">
        <v>306</v>
      </c>
      <c r="J637" s="10">
        <v>46279</v>
      </c>
      <c r="L637" t="s">
        <v>308</v>
      </c>
    </row>
    <row r="638" spans="1:12" x14ac:dyDescent="0.25">
      <c r="A638" t="s">
        <v>289</v>
      </c>
      <c r="B638" t="s">
        <v>398</v>
      </c>
      <c r="C638" t="s">
        <v>399</v>
      </c>
      <c r="D638" t="s">
        <v>400</v>
      </c>
      <c r="E638" s="4">
        <v>763</v>
      </c>
      <c r="F638" t="s">
        <v>372</v>
      </c>
      <c r="G638" s="9">
        <v>1</v>
      </c>
      <c r="H638" s="4">
        <v>763</v>
      </c>
      <c r="I638" t="s">
        <v>306</v>
      </c>
      <c r="J638" s="10">
        <v>46312</v>
      </c>
      <c r="L638" t="s">
        <v>308</v>
      </c>
    </row>
    <row r="639" spans="1:12" x14ac:dyDescent="0.25">
      <c r="A639" t="s">
        <v>289</v>
      </c>
      <c r="B639" t="s">
        <v>370</v>
      </c>
      <c r="C639" t="s">
        <v>371</v>
      </c>
      <c r="E639" s="4">
        <v>5005</v>
      </c>
      <c r="F639" t="s">
        <v>372</v>
      </c>
      <c r="G639" s="9">
        <v>1</v>
      </c>
      <c r="H639" s="4">
        <v>5005</v>
      </c>
      <c r="I639" t="s">
        <v>373</v>
      </c>
      <c r="J639" s="10">
        <v>46310</v>
      </c>
      <c r="L639" t="s">
        <v>315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الملخص</vt:lpstr>
      <vt:lpstr>تكلفة كل سيارة</vt:lpstr>
      <vt:lpstr>البنود التفصيلية</vt:lpstr>
    </vt:vector>
  </TitlesOfParts>
  <Company>Golden Gate Motors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المحاسب</dc:creator>
  <dc:title>تقرير تكاليف السيارات</dc:title>
  <dc:subject/>
  <dc:description/>
  <cp:keywords/>
  <cp:category/>
  <cp:lastModifiedBy>Unknown</cp:lastModifiedBy>
  <dcterms:created xsi:type="dcterms:W3CDTF">2026-10-15T10:19:27Z</dcterms:created>
  <dcterms:modified xsi:type="dcterms:W3CDTF">2026-10-15T10:19:27Z</dcterms:modified>
</cp:coreProperties>
</file>